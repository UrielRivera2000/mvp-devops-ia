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4bbe23411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181713ff1074609"/>
    <x:sheet xmlns:r="http://schemas.openxmlformats.org/officeDocument/2006/relationships" name="Jira_Export_All_Fields" sheetId="2" r:id="R37f1668fc28c48cb"/>
    <x:sheet xmlns:r="http://schemas.openxmlformats.org/officeDocument/2006/relationships" name="Jira_Normalized" sheetId="3" r:id="R1ac31fdb905e47b7"/>
    <x:sheet xmlns:r="http://schemas.openxmlformats.org/officeDocument/2006/relationships" name="Golden_Cases" sheetId="4" r:id="Rbf07ac2abcc44d3c"/>
    <x:sheet xmlns:r="http://schemas.openxmlformats.org/officeDocument/2006/relationships" name="Catalogos" sheetId="5" r:id="Rac600dbf7cd14890"/>
    <x:sheet xmlns:r="http://schemas.openxmlformats.org/officeDocument/2006/relationships" name="Resumen" sheetId="6" r:id="R24e09a3b0954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05493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91f922fc2401f" /><Relationship Type="http://schemas.openxmlformats.org/officeDocument/2006/relationships/theme" Target="/xl/theme/theme1.xml" Id="R20cbca55a36749bc" /><Relationship Type="http://schemas.openxmlformats.org/officeDocument/2006/relationships/sharedStrings" Target="/xl/sharedStrings.xml" Id="R4064aa1fea364ba2" /><Relationship Type="http://schemas.openxmlformats.org/officeDocument/2006/relationships/worksheet" Target="/xl/worksheets/sheet1.xml" Id="Rb181713ff1074609" /><Relationship Type="http://schemas.openxmlformats.org/officeDocument/2006/relationships/worksheet" Target="/xl/worksheets/sheet2.xml" Id="R37f1668fc28c48cb" /><Relationship Type="http://schemas.openxmlformats.org/officeDocument/2006/relationships/worksheet" Target="/xl/worksheets/sheet3.xml" Id="R1ac31fdb905e47b7" /><Relationship Type="http://schemas.openxmlformats.org/officeDocument/2006/relationships/worksheet" Target="/xl/worksheets/sheet4.xml" Id="Rbf07ac2abcc44d3c" /><Relationship Type="http://schemas.openxmlformats.org/officeDocument/2006/relationships/worksheet" Target="/xl/worksheets/sheet5.xml" Id="Rac600dbf7cd14890" /><Relationship Type="http://schemas.openxmlformats.org/officeDocument/2006/relationships/worksheet" Target="/xl/worksheets/sheet6.xml" Id="R24e09a3b0954462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1346b55456147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Tickets sintéticos por categoría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Tickets</c:v>
          </c:tx>
          <c:cat>
            <c:strRef>
              <c:f>'Resumen'!$D$4:$D$14</c:f>
              <c:strCache>
                <c:ptCount val="0"/>
              </c:strCache>
            </c:strRef>
          </c:cat>
          <c:val>
            <c:numRef>
              <c:f>'Resumen'!$E$4:$E$14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1346b554561473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iraExportTable" displayName="JiraExportTable" ref="A1:AK18" headerRowCount="1" totalsRowCount="0" totalsRowShown="0">
  <x:tableColumns count="37">
    <x:tableColumn id="1" name="Issue Type"/>
    <x:tableColumn id="2" name="Issue key"/>
    <x:tableColumn id="3" name="Issue id"/>
    <x:tableColumn id="4" name="Project key"/>
    <x:tableColumn id="5" name="Project name"/>
    <x:tableColumn id="6" name="Summary"/>
    <x:tableColumn id="7" name="Description"/>
    <x:tableColumn id="8" name="Environment"/>
    <x:tableColumn id="9" name="Status"/>
    <x:tableColumn id="10" name="Resolution"/>
    <x:tableColumn id="11" name="Priority"/>
    <x:tableColumn id="12" name="Assignee"/>
    <x:tableColumn id="13" name="Reporter"/>
    <x:tableColumn id="14" name="Creator"/>
    <x:tableColumn id="15" name="Created"/>
    <x:tableColumn id="16" name="Updated"/>
    <x:tableColumn id="17" name="Resolved"/>
    <x:tableColumn id="18" name="Component/s"/>
    <x:tableColumn id="19" name="Labels"/>
    <x:tableColumn id="20" name="Fix Version/s"/>
    <x:tableColumn id="21" name="Affects Version/s"/>
    <x:tableColumn id="22" name="Sprint"/>
    <x:tableColumn id="23" name="Epic Link"/>
    <x:tableColumn id="24" name="Original Estimate"/>
    <x:tableColumn id="25" name="Time Spent"/>
    <x:tableColumn id="26" name="Root Cause"/>
    <x:tableColumn id="27" name="Resolution Steps"/>
    <x:tableColumn id="28" name="Error Signature"/>
    <x:tableColumn id="29" name="Technology"/>
    <x:tableColumn id="30" name="Category"/>
    <x:tableColumn id="31" name="Affected Service"/>
    <x:tableColumn id="32" name="Pipeline / Job"/>
    <x:tableColumn id="33" name="Evidence / Logs"/>
    <x:tableColumn id="34" name="Knowledge Article"/>
    <x:tableColumn id="35" name="Comment"/>
    <x:tableColumn id="36" name="Comment 2"/>
    <x:tableColumn id="37" name="Attachme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iraNormalizedTable" displayName="JiraNormalizedTable" ref="A1:T18" headerRowCount="1" totalsRowCount="0" totalsRowShown="0">
  <x:tableColumns count="20">
    <x:tableColumn id="1" name="key"/>
    <x:tableColumn id="2" name="summary"/>
    <x:tableColumn id="3" name="description"/>
    <x:tableColumn id="4" name="environment"/>
    <x:tableColumn id="5" name="status"/>
    <x:tableColumn id="6" name="resolution"/>
    <x:tableColumn id="7" name="priority"/>
    <x:tableColumn id="8" name="technology"/>
    <x:tableColumn id="9" name="category"/>
    <x:tableColumn id="10" name="error_signature"/>
    <x:tableColumn id="11" name="root_cause"/>
    <x:tableColumn id="12" name="resolution_steps"/>
    <x:tableColumn id="13" name="evidence_logs"/>
    <x:tableColumn id="14" name="components"/>
    <x:tableColumn id="15" name="labels"/>
    <x:tableColumn id="16" name="affected_service"/>
    <x:tableColumn id="17" name="pipeline_job"/>
    <x:tableColumn id="18" name="knowledge_article"/>
    <x:tableColumn id="19" name="created"/>
    <x:tableColumn id="20" name="resolv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oldenCasesTable" displayName="GoldenCasesTable" ref="A1:J4" headerRowCount="1" totalsRowCount="0" totalsRowShown="0">
  <x:tableColumns count="10">
    <x:tableColumn id="1" name="case_id"/>
    <x:tableColumn id="2" name="case_type"/>
    <x:tableColumn id="3" name="input"/>
    <x:tableColumn id="4" name="expected_category"/>
    <x:tableColumn id="5" name="expected_technology"/>
    <x:tableColumn id="6" name="expected_error"/>
    <x:tableColumn id="7" name="expected_tools"/>
    <x:tableColumn id="8" name="approval_criteria"/>
    <x:tableColumn id="9" name="requires_human_review"/>
    <x:tableColumn id="10" name="out_of_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24baa1308b4a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e1769dffe141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af7c5e017dc4be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5c2c5d829f3e4dc6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2" t="str">
        <x:v>FUENTES SINTÉTICAS — POC DEVOPS</x:v>
      </x:c>
      <x:c r="B1" s="12" t="str"/>
    </x:row>
    <x:row r="2">
      <x:c r="A2" s="13" t="str">
        <x:v>Propósito</x:v>
      </x:c>
      <x:c r="B2" s="14" t="str">
        <x:v>Corpus controlado para validar diagnóstico inicial fundamentado mediante agente único + RAG.</x:v>
      </x:c>
    </x:row>
    <x:row r="3">
      <x:c r="A3" s="13" t="str">
        <x:v>Naturaleza</x:v>
      </x:c>
      <x:c r="B3" s="14" t="str">
        <x:v>Todos los registros son ficticios. No contienen información corporativa real.</x:v>
      </x:c>
    </x:row>
    <x:row r="4">
      <x:c r="A4" s="13" t="str">
        <x:v>Uso</x:v>
      </x:c>
      <x:c r="B4" s="14" t="str">
        <x:v>Jira_Normalized alimenta RAG histórico; los Markdown del ZIP alimentan RAG técnico; Golden_Cases define las pruebas.</x:v>
      </x:c>
    </x:row>
    <x:row r="5">
      <x:c r="A5" s="13" t="str">
        <x:v>Estructura Jira</x:v>
      </x:c>
      <x:c r="B5" s="14" t="str">
        <x:v>Jira_Export_All_Fields aproxima una exportación de Jira Cloud con campos de sistema y custom fields de negocio.</x:v>
      </x:c>
    </x:row>
    <x:row r="6">
      <x:c r="A6" s="13" t="str">
        <x:v>Referencia Atlassian</x:v>
      </x:c>
      <x:c r="B6" s="14" t="str">
        <x:v>https://support.atlassian.com/jira/kb/how-to-export-issues-from-jira-cloud-in-csv-format/</x:v>
      </x:c>
    </x:row>
    <x:row r="7">
      <x:c r="A7" s="13" t="str">
        <x:v>Referencia REST</x:v>
      </x:c>
      <x:c r="B7" s="14" t="str">
        <x:v>https://developer.atlassian.com/cloud/jira/platform/rest/v3/api-group-issue-search/</x:v>
      </x:c>
    </x:row>
    <x:row r="8">
      <x:c r="A8" s="13" t="str">
        <x:v>Referencia ADF</x:v>
      </x:c>
      <x:c r="B8" s="14" t="str">
        <x:v>https://developer.atlassian.com/cloud/jira/platform/rest/v3/intro/</x:v>
      </x:c>
    </x:row>
    <x:row r="9">
      <x:c r="A9" s="13" t="str">
        <x:v>Nota</x:v>
      </x:c>
      <x:c r="B9" s="14" t="str">
        <x:v>Description y Environment pueden representarse en ADF en Jira Cloud REST v3. El JSON sintético incluido usa una forma ADF simplificada.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4" max="34" width="16" hidden="0" customWidth="1"/>
    <x:col min="37" max="37" width="16" hidden="0" customWidth="1"/>
    <x:col min="6" max="6" width="34" hidden="0" customWidth="1"/>
    <x:col min="7" max="7" width="34" hidden="0" customWidth="1"/>
    <x:col min="26" max="26" width="34" hidden="0" customWidth="1"/>
    <x:col min="27" max="27" width="34" hidden="0" customWidth="1"/>
    <x:col min="33" max="33" width="34" hidden="0" customWidth="1"/>
    <x:col min="35" max="35" width="34" hidden="0" customWidth="1"/>
    <x:col min="36" max="36" width="34" hidden="0" customWidth="1"/>
  </x:cols>
  <x:sheetData>
    <x:row r="1">
      <x:c r="A1" s="21" t="str">
        <x:v>Issue Type</x:v>
      </x:c>
      <x:c r="B1" s="21" t="str">
        <x:v>Issue key</x:v>
      </x:c>
      <x:c r="C1" s="21" t="str">
        <x:v>Issue id</x:v>
      </x:c>
      <x:c r="D1" s="21" t="str">
        <x:v>Project key</x:v>
      </x:c>
      <x:c r="E1" s="21" t="str">
        <x:v>Project name</x:v>
      </x:c>
      <x:c r="F1" s="21" t="str">
        <x:v>Summary</x:v>
      </x:c>
      <x:c r="G1" s="21" t="str">
        <x:v>Description</x:v>
      </x:c>
      <x:c r="H1" s="21" t="str">
        <x:v>Environment</x:v>
      </x:c>
      <x:c r="I1" s="21" t="str">
        <x:v>Status</x:v>
      </x:c>
      <x:c r="J1" s="21" t="str">
        <x:v>Resolution</x:v>
      </x:c>
      <x:c r="K1" s="21" t="str">
        <x:v>Priority</x:v>
      </x:c>
      <x:c r="L1" s="21" t="str">
        <x:v>Assignee</x:v>
      </x:c>
      <x:c r="M1" s="21" t="str">
        <x:v>Reporter</x:v>
      </x:c>
      <x:c r="N1" s="21" t="str">
        <x:v>Creator</x:v>
      </x:c>
      <x:c r="O1" s="21" t="str">
        <x:v>Created</x:v>
      </x:c>
      <x:c r="P1" s="21" t="str">
        <x:v>Updated</x:v>
      </x:c>
      <x:c r="Q1" s="21" t="str">
        <x:v>Resolved</x:v>
      </x:c>
      <x:c r="R1" s="21" t="str">
        <x:v>Component/s</x:v>
      </x:c>
      <x:c r="S1" s="21" t="str">
        <x:v>Labels</x:v>
      </x:c>
      <x:c r="T1" s="21" t="str">
        <x:v>Fix Version/s</x:v>
      </x:c>
      <x:c r="U1" s="21" t="str">
        <x:v>Affects Version/s</x:v>
      </x:c>
      <x:c r="V1" s="21" t="str">
        <x:v>Sprint</x:v>
      </x:c>
      <x:c r="W1" s="21" t="str">
        <x:v>Epic Link</x:v>
      </x:c>
      <x:c r="X1" s="21" t="str">
        <x:v>Original Estimate</x:v>
      </x:c>
      <x:c r="Y1" s="21" t="str">
        <x:v>Time Spent</x:v>
      </x:c>
      <x:c r="Z1" s="21" t="str">
        <x:v>Root Cause</x:v>
      </x:c>
      <x:c r="AA1" s="21" t="str">
        <x:v>Resolution Steps</x:v>
      </x:c>
      <x:c r="AB1" s="21" t="str">
        <x:v>Error Signature</x:v>
      </x:c>
      <x:c r="AC1" s="21" t="str">
        <x:v>Technology</x:v>
      </x:c>
      <x:c r="AD1" s="21" t="str">
        <x:v>Category</x:v>
      </x:c>
      <x:c r="AE1" s="21" t="str">
        <x:v>Affected Service</x:v>
      </x:c>
      <x:c r="AF1" s="21" t="str">
        <x:v>Pipeline / Job</x:v>
      </x:c>
      <x:c r="AG1" s="21" t="str">
        <x:v>Evidence / Logs</x:v>
      </x:c>
      <x:c r="AH1" s="21" t="str">
        <x:v>Knowledge Article</x:v>
      </x:c>
      <x:c r="AI1" s="21" t="str">
        <x:v>Comment</x:v>
      </x:c>
      <x:c r="AJ1" s="21" t="str">
        <x:v>Comment 2</x:v>
      </x:c>
      <x:c r="AK1" s="21" t="str">
        <x:v>Attachment</x:v>
      </x:c>
    </x:row>
    <x:row r="2">
      <x:c r="A2" s="14" t="str">
        <x:v>Incident</x:v>
      </x:c>
      <x:c r="B2" s="14" t="str">
        <x:v>DEVOPS-1001</x:v>
      </x:c>
      <x:c r="C2" s="14" t="str">
        <x:v>10001</x:v>
      </x:c>
      <x:c r="D2" s="14" t="str">
        <x:v>DEVOPS</x:v>
      </x:c>
      <x:c r="E2" s="14" t="str">
        <x:v>DevOps Operations</x:v>
      </x:c>
      <x:c r="F2" s="14" t="str">
        <x:v>ImagePullBackOff por credenciales expiradas de registry</x:v>
      </x:c>
      <x:c r="G2" s="14" t="str">
        <x:v>Incidente sintético de PoC relacionado con imagepullbackoff por credenciales expiradas de registry. Se requiere triage y diagnóstico inicial.</x:v>
      </x:c>
      <x:c r="H2" s="14" t="str">
        <x:v>UAT</x:v>
      </x:c>
      <x:c r="I2" s="14" t="str">
        <x:v>Done</x:v>
      </x:c>
      <x:c r="J2" s="14" t="str">
        <x:v>Fixed</x:v>
      </x:c>
      <x:c r="K2" s="14" t="str">
        <x:v>High</x:v>
      </x:c>
      <x:c r="L2" s="14" t="str">
        <x:v>specialist01</x:v>
      </x:c>
      <x:c r="M2" s="14" t="str">
        <x:v>dev01</x:v>
      </x:c>
      <x:c r="N2" s="14" t="str">
        <x:v>dev01</x:v>
      </x:c>
      <x:c r="O2" s="26" t="n">
        <x:v>46034.384722222225</x:v>
      </x:c>
      <x:c r="P2" s="26" t="n">
        <x:v>46034.44027777778</x:v>
      </x:c>
      <x:c r="Q2" s="26" t="n">
        <x:v>46034.44027777778</x:v>
      </x:c>
      <x:c r="R2" s="14" t="str">
        <x:v>Kubernetes</x:v>
      </x:c>
      <x:c r="S2" s="14" t="str">
        <x:v>containers;kubernetes;registry</x:v>
      </x:c>
      <x:c r="T2" s="14" t="str">
        <x:v>2026.01.12</x:v>
      </x:c>
      <x:c r="U2" s="14" t="str">
        <x:v>1.0.0</x:v>
      </x:c>
      <x:c r="V2" s="14" t="str">
        <x:v>OPS-S01</x:v>
      </x:c>
      <x:c r="W2" s="14" t="str">
        <x:v>DEVOPS-900</x:v>
      </x:c>
      <x:c r="X2" s="14" t="str">
        <x:v>2h</x:v>
      </x:c>
      <x:c r="Y2" s="14" t="str">
        <x:v>1h 20m</x:v>
      </x:c>
      <x:c r="Z2" s="14" t="str">
        <x:v>El imagePullSecret contenía credenciales expiradas para el registry privado.</x:v>
      </x:c>
      <x:c r="AA2" s="14" t="str">
        <x:v>Se confirmó imagen/tag; se renovó la credencial mediante el proceso autorizado; se actualizó el imagePullSecret y se verificó un pull exitoso.</x:v>
      </x:c>
      <x:c r="AB2" s="14" t="str">
        <x:v>Failed to pull image: unauthorized: authentication required | ImagePullBackOff</x:v>
      </x:c>
      <x:c r="AC2" s="14" t="str">
        <x:v>Kubernetes</x:v>
      </x:c>
      <x:c r="AD2" s="14" t="str">
        <x:v>Containers / Registry</x:v>
      </x:c>
      <x:c r="AE2" s="14" t="str">
        <x:v>api-clientes</x:v>
      </x:c>
      <x:c r="AF2" s="14" t="str">
        <x:v>deploy-uat / deploy</x:v>
      </x:c>
      <x:c r="AG2" s="14" t="str">
        <x:v>Failed to pull image: unauthorized: authentication required</x:v>
      </x:c>
      <x:c r="AH2" s="14" t="str">
        <x:v>KB-001</x:v>
      </x:c>
      <x:c r="AI2" s="14" t="str">
        <x:v>Triage completado; se recopiló evidencia y se confirmó la causa probable.</x:v>
      </x:c>
      <x:c r="AJ2" s="14" t="str">
        <x:v>Corrección aplicada por el equipo responsable; validación posterior satisfactoria.</x:v>
      </x:c>
      <x:c r="AK2" s="14" t="str">
        <x:v>devops-1001-evidence.txt</x:v>
      </x:c>
    </x:row>
    <x:row r="3">
      <x:c r="A3" s="14" t="str">
        <x:v>Incident</x:v>
      </x:c>
      <x:c r="B3" s="14" t="str">
        <x:v>DEVOPS-1002</x:v>
      </x:c>
      <x:c r="C3" s="14" t="str">
        <x:v>10002</x:v>
      </x:c>
      <x:c r="D3" s="14" t="str">
        <x:v>DEVOPS</x:v>
      </x:c>
      <x:c r="E3" s="14" t="str">
        <x:v>DevOps Operations</x:v>
      </x:c>
      <x:c r="F3" s="14" t="str">
        <x:v>ImagePullBackOff por imagePullSecret inexistente</x:v>
      </x:c>
      <x:c r="G3" s="14" t="str">
        <x:v>Incidente sintético de PoC relacionado con imagepullbackoff por imagepullsecret inexistente. Se requiere triage y diagnóstico inicial.</x:v>
      </x:c>
      <x:c r="H3" s="14" t="str">
        <x:v>DEV</x:v>
      </x:c>
      <x:c r="I3" s="14" t="str">
        <x:v>Done</x:v>
      </x:c>
      <x:c r="J3" s="14" t="str">
        <x:v>Fixed</x:v>
      </x:c>
      <x:c r="K3" s="14" t="str">
        <x:v>Medium</x:v>
      </x:c>
      <x:c r="L3" s="14" t="str">
        <x:v>specialist02</x:v>
      </x:c>
      <x:c r="M3" s="14" t="str">
        <x:v>dev02</x:v>
      </x:c>
      <x:c r="N3" s="14" t="str">
        <x:v>dev02</x:v>
      </x:c>
      <x:c r="O3" s="26" t="n">
        <x:v>46042.42638888889</x:v>
      </x:c>
      <x:c r="P3" s="26" t="n">
        <x:v>46042.52847222222</x:v>
      </x:c>
      <x:c r="Q3" s="26" t="n">
        <x:v>46042.52847222222</x:v>
      </x:c>
      <x:c r="R3" s="14" t="str">
        <x:v>Kubernetes</x:v>
      </x:c>
      <x:c r="S3" s="14" t="str">
        <x:v>containers;kubernetes;registry</x:v>
      </x:c>
      <x:c r="T3" s="14" t="str">
        <x:v>2026.01.20</x:v>
      </x:c>
      <x:c r="U3" s="14" t="str">
        <x:v>2.1.1</x:v>
      </x:c>
      <x:c r="V3" s="14" t="str">
        <x:v>OPS-S01</x:v>
      </x:c>
      <x:c r="W3" s="14" t="str">
        <x:v>DEVOPS-900</x:v>
      </x:c>
      <x:c r="X3" s="14" t="str">
        <x:v>3h</x:v>
      </x:c>
      <x:c r="Y3" s="14" t="str">
        <x:v>2h 27m</x:v>
      </x:c>
      <x:c r="Z3" s="14" t="str">
        <x:v>El namespace nuevo no tenía el imagePullSecret requerido y el ServiceAccount no lo referenciaba.</x:v>
      </x:c>
      <x:c r="AA3" s="14" t="str">
        <x:v>Se verificó el ServiceAccount; se creó el secret autorizado; se asoció y se validó el pull.</x:v>
      </x:c>
      <x:c r="AB3" s="14" t="str">
        <x:v>FailedToRetrieveImagePullSecret | ErrImagePull | ImagePullBackOff</x:v>
      </x:c>
      <x:c r="AC3" s="14" t="str">
        <x:v>Kubernetes</x:v>
      </x:c>
      <x:c r="AD3" s="14" t="str">
        <x:v>Containers / Registry</x:v>
      </x:c>
      <x:c r="AE3" s="14" t="str">
        <x:v>portal-api</x:v>
      </x:c>
      <x:c r="AF3" s="14" t="str">
        <x:v>deploy-dev / deploy</x:v>
      </x:c>
      <x:c r="AG3" s="14" t="str">
        <x:v>FailedToRetrieveImagePullSecret</x:v>
      </x:c>
      <x:c r="AH3" s="14" t="str">
        <x:v>KB-001</x:v>
      </x:c>
      <x:c r="AI3" s="14" t="str">
        <x:v>Triage completado; se recopiló evidencia y se confirmó la causa probable.</x:v>
      </x:c>
      <x:c r="AJ3" s="14" t="str">
        <x:v>Corrección aplicada por el equipo responsable; validación posterior satisfactoria.</x:v>
      </x:c>
      <x:c r="AK3" s="14" t="str">
        <x:v>devops-1002-evidence.txt</x:v>
      </x:c>
    </x:row>
    <x:row r="4">
      <x:c r="A4" s="14" t="str">
        <x:v>Incident</x:v>
      </x:c>
      <x:c r="B4" s="14" t="str">
        <x:v>DEVOPS-1003</x:v>
      </x:c>
      <x:c r="C4" s="14" t="str">
        <x:v>10003</x:v>
      </x:c>
      <x:c r="D4" s="14" t="str">
        <x:v>DEVOPS</x:v>
      </x:c>
      <x:c r="E4" s="14" t="str">
        <x:v>DevOps Operations</x:v>
      </x:c>
      <x:c r="F4" s="14" t="str">
        <x:v>CrashLoopBackOff por variable de entorno faltante</x:v>
      </x:c>
      <x:c r="G4" s="14" t="str">
        <x:v>Incidente sintético de PoC relacionado con crashloopbackoff por variable de entorno faltante. Se requiere triage y diagnóstico inicial.</x:v>
      </x:c>
      <x:c r="H4" s="14" t="str">
        <x:v>UAT</x:v>
      </x:c>
      <x:c r="I4" s="14" t="str">
        <x:v>Done</x:v>
      </x:c>
      <x:c r="J4" s="14" t="str">
        <x:v>Fixed</x:v>
      </x:c>
      <x:c r="K4" s="14" t="str">
        <x:v>High</x:v>
      </x:c>
      <x:c r="L4" s="14" t="str">
        <x:v>specialist03</x:v>
      </x:c>
      <x:c r="M4" s="14" t="str">
        <x:v>dev03</x:v>
      </x:c>
      <x:c r="N4" s="14" t="str">
        <x:v>dev03</x:v>
      </x:c>
      <x:c r="O4" s="26" t="n">
        <x:v>46050.46805555555</x:v>
      </x:c>
      <x:c r="P4" s="26" t="n">
        <x:v>46050.61666666667</x:v>
      </x:c>
      <x:c r="Q4" s="26" t="n">
        <x:v>46050.61666666667</x:v>
      </x:c>
      <x:c r="R4" s="14" t="str">
        <x:v>Kubernetes</x:v>
      </x:c>
      <x:c r="S4" s="14" t="str">
        <x:v>configuration;kubernetes;runtime</x:v>
      </x:c>
      <x:c r="T4" s="14" t="str">
        <x:v>2026.01.28</x:v>
      </x:c>
      <x:c r="U4" s="14" t="str">
        <x:v>3.2.2</x:v>
      </x:c>
      <x:c r="V4" s="14" t="str">
        <x:v>OPS-S02</x:v>
      </x:c>
      <x:c r="W4" s="14" t="str">
        <x:v>DEVOPS-900</x:v>
      </x:c>
      <x:c r="X4" s="14" t="str">
        <x:v>4h</x:v>
      </x:c>
      <x:c r="Y4" s="14" t="str">
        <x:v>1h 34m</x:v>
      </x:c>
      <x:c r="Z4" s="14" t="str">
        <x:v>La variable DB_SCHEMA requerida no estaba definida en el ConfigMap de UAT.</x:v>
      </x:c>
      <x:c r="AA4" s="14" t="str">
        <x:v>Se revisaron logs previos; se comparó configuración DEV/UAT; se agregó DB_SCHEMA por el proceso autorizado y se validó readiness.</x:v>
      </x:c>
      <x:c r="AB4" s="14" t="str">
        <x:v>Application startup failed: DB_SCHEMA is missing | CrashLoopBackOff</x:v>
      </x:c>
      <x:c r="AC4" s="14" t="str">
        <x:v>Kubernetes</x:v>
      </x:c>
      <x:c r="AD4" s="14" t="str">
        <x:v>Runtime / Configuration</x:v>
      </x:c>
      <x:c r="AE4" s="14" t="str">
        <x:v>boveda-api</x:v>
      </x:c>
      <x:c r="AF4" s="14" t="str">
        <x:v>deploy-uat / deploy</x:v>
      </x:c>
      <x:c r="AG4" s="14" t="str">
        <x:v>Application startup failed: DB_SCHEMA is missing</x:v>
      </x:c>
      <x:c r="AH4" s="14" t="str">
        <x:v>KB-002</x:v>
      </x:c>
      <x:c r="AI4" s="14" t="str">
        <x:v>Triage completado; se recopiló evidencia y se confirmó la causa probable.</x:v>
      </x:c>
      <x:c r="AJ4" s="14" t="str">
        <x:v>Corrección aplicada por el equipo responsable; validación posterior satisfactoria.</x:v>
      </x:c>
      <x:c r="AK4" s="14" t="str">
        <x:v>devops-1003-evidence.txt</x:v>
      </x:c>
    </x:row>
    <x:row r="5">
      <x:c r="A5" s="14" t="str">
        <x:v>Incident</x:v>
      </x:c>
      <x:c r="B5" s="14" t="str">
        <x:v>DEVOPS-1004</x:v>
      </x:c>
      <x:c r="C5" s="14" t="str">
        <x:v>10004</x:v>
      </x:c>
      <x:c r="D5" s="14" t="str">
        <x:v>DEVOPS</x:v>
      </x:c>
      <x:c r="E5" s="14" t="str">
        <x:v>DevOps Operations</x:v>
      </x:c>
      <x:c r="F5" s="14" t="str">
        <x:v>CrashLoopBackOff por endpoint de base de datos incorrecto</x:v>
      </x:c>
      <x:c r="G5" s="14" t="str">
        <x:v>Incidente sintético de PoC relacionado con crashloopbackoff por endpoint de base de datos incorrecto. Se requiere triage y diagnóstico inicial.</x:v>
      </x:c>
      <x:c r="H5" s="14" t="str">
        <x:v>UAT</x:v>
      </x:c>
      <x:c r="I5" s="14" t="str">
        <x:v>Done</x:v>
      </x:c>
      <x:c r="J5" s="14" t="str">
        <x:v>Fixed</x:v>
      </x:c>
      <x:c r="K5" s="14" t="str">
        <x:v>High</x:v>
      </x:c>
      <x:c r="L5" s="14" t="str">
        <x:v>specialist04</x:v>
      </x:c>
      <x:c r="M5" s="14" t="str">
        <x:v>dev04</x:v>
      </x:c>
      <x:c r="N5" s="14" t="str">
        <x:v>dev04</x:v>
      </x:c>
      <x:c r="O5" s="26" t="n">
        <x:v>46058.509722222225</x:v>
      </x:c>
      <x:c r="P5" s="26" t="n">
        <x:v>46058.57986111111</x:v>
      </x:c>
      <x:c r="Q5" s="26" t="n">
        <x:v>46058.57986111111</x:v>
      </x:c>
      <x:c r="R5" s="14" t="str">
        <x:v>Kubernetes</x:v>
      </x:c>
      <x:c r="S5" s="14" t="str">
        <x:v>configuration;kubernetes;runtime</x:v>
      </x:c>
      <x:c r="T5" s="14" t="str">
        <x:v>2026.02.05</x:v>
      </x:c>
      <x:c r="U5" s="14" t="str">
        <x:v>4.3.3</x:v>
      </x:c>
      <x:c r="V5" s="14" t="str">
        <x:v>OPS-S02</x:v>
      </x:c>
      <x:c r="W5" s="14" t="str">
        <x:v>DEVOPS-901</x:v>
      </x:c>
      <x:c r="X5" s="14" t="str">
        <x:v>2h</x:v>
      </x:c>
      <x:c r="Y5" s="14" t="str">
        <x:v>2h 41m</x:v>
      </x:c>
      <x:c r="Z5" s="14" t="str">
        <x:v>El host de base de datos configurado en UAT no correspondía al endpoint autorizado.</x:v>
      </x:c>
      <x:c r="AA5" s="14" t="str">
        <x:v>Se comparó configuración con inventario; se corrigió el valor mediante el proceso de secretos y se verificó estabilidad.</x:v>
      </x:c>
      <x:c r="AB5" s="14" t="str">
        <x:v>SQLRecoverableException: could not establish the connection | CrashLoopBackOff</x:v>
      </x:c>
      <x:c r="AC5" s="14" t="str">
        <x:v>Kubernetes</x:v>
      </x:c>
      <x:c r="AD5" s="14" t="str">
        <x:v>Runtime / Configuration</x:v>
      </x:c>
      <x:c r="AE5" s="14" t="str">
        <x:v>estado-cuenta-api</x:v>
      </x:c>
      <x:c r="AF5" s="14" t="str">
        <x:v>deploy-uat / deploy</x:v>
      </x:c>
      <x:c r="AG5" s="14" t="str">
        <x:v>SQLRecoverableException: could not establish the connection</x:v>
      </x:c>
      <x:c r="AH5" s="14" t="str">
        <x:v>KB-002</x:v>
      </x:c>
      <x:c r="AI5" s="14" t="str">
        <x:v>Triage completado; se recopiló evidencia y se confirmó la causa probable.</x:v>
      </x:c>
      <x:c r="AJ5" s="14" t="str">
        <x:v>Corrección aplicada por el equipo responsable; validación posterior satisfactoria.</x:v>
      </x:c>
      <x:c r="AK5" s="14" t="str">
        <x:v>devops-1004-evidence.txt</x:v>
      </x:c>
    </x:row>
    <x:row r="6">
      <x:c r="A6" s="14" t="str">
        <x:v>Incident</x:v>
      </x:c>
      <x:c r="B6" s="14" t="str">
        <x:v>DEVOPS-1005</x:v>
      </x:c>
      <x:c r="C6" s="14" t="str">
        <x:v>10005</x:v>
      </x:c>
      <x:c r="D6" s="14" t="str">
        <x:v>DEVOPS</x:v>
      </x:c>
      <x:c r="E6" s="14" t="str">
        <x:v>DevOps Operations</x:v>
      </x:c>
      <x:c r="F6" s="14" t="str">
        <x:v>OOMKilled por límite de memoria insuficiente</x:v>
      </x:c>
      <x:c r="G6" s="14" t="str">
        <x:v>Incidente sintético de PoC relacionado con oomkilled por límite de memoria insuficiente. Se requiere triage y diagnóstico inicial.</x:v>
      </x:c>
      <x:c r="H6" s="14" t="str">
        <x:v>UAT</x:v>
      </x:c>
      <x:c r="I6" s="14" t="str">
        <x:v>Done</x:v>
      </x:c>
      <x:c r="J6" s="14" t="str">
        <x:v>Fixed</x:v>
      </x:c>
      <x:c r="K6" s="14" t="str">
        <x:v>High</x:v>
      </x:c>
      <x:c r="L6" s="14" t="str">
        <x:v>specialist01</x:v>
      </x:c>
      <x:c r="M6" s="14" t="str">
        <x:v>dev05</x:v>
      </x:c>
      <x:c r="N6" s="14" t="str">
        <x:v>dev05</x:v>
      </x:c>
      <x:c r="O6" s="26" t="n">
        <x:v>46066.55138888889</x:v>
      </x:c>
      <x:c r="P6" s="26" t="n">
        <x:v>46066.66805555556</x:v>
      </x:c>
      <x:c r="Q6" s="26" t="n">
        <x:v>46066.66805555556</x:v>
      </x:c>
      <x:c r="R6" s="14" t="str">
        <x:v>Kubernetes</x:v>
      </x:c>
      <x:c r="S6" s="14" t="str">
        <x:v>capacity;kubernetes;resources</x:v>
      </x:c>
      <x:c r="T6" s="14" t="str">
        <x:v>2026.02.13</x:v>
      </x:c>
      <x:c r="U6" s="14" t="str">
        <x:v>5.4.0</x:v>
      </x:c>
      <x:c r="V6" s="14" t="str">
        <x:v>OPS-S03</x:v>
      </x:c>
      <x:c r="W6" s="14" t="str">
        <x:v>DEVOPS-901</x:v>
      </x:c>
      <x:c r="X6" s="14" t="str">
        <x:v>3h</x:v>
      </x:c>
      <x:c r="Y6" s="14" t="str">
        <x:v>1h 48m</x:v>
      </x:c>
      <x:c r="Z6" s="14" t="str">
        <x:v>El límite de 512Mi era inferior al pico observado durante el procesamiento.</x:v>
      </x:c>
      <x:c r="AA6" s="14" t="str">
        <x:v>Se confirmó OOMKilled; se revisó consumo; se ajustaron requests/limits con evidencia de carga y se repitió la prueba.</x:v>
      </x:c>
      <x:c r="AB6" s="14" t="str">
        <x:v>Reason: OOMKilled | Exit Code: 137</x:v>
      </x:c>
      <x:c r="AC6" s="14" t="str">
        <x:v>Kubernetes</x:v>
      </x:c>
      <x:c r="AD6" s="14" t="str">
        <x:v>Resources / Capacity</x:v>
      </x:c>
      <x:c r="AE6" s="14" t="str">
        <x:v>reportes-api</x:v>
      </x:c>
      <x:c r="AF6" s="14" t="str">
        <x:v>deploy-uat / smoke-test</x:v>
      </x:c>
      <x:c r="AG6" s="14" t="str">
        <x:v>Reason: OOMKilled</x:v>
      </x:c>
      <x:c r="AH6" s="14" t="str">
        <x:v>KB-003</x:v>
      </x:c>
      <x:c r="AI6" s="14" t="str">
        <x:v>Triage completado; se recopiló evidencia y se confirmó la causa probable.</x:v>
      </x:c>
      <x:c r="AJ6" s="14" t="str">
        <x:v>Corrección aplicada por el equipo responsable; validación posterior satisfactoria.</x:v>
      </x:c>
      <x:c r="AK6" s="14" t="str">
        <x:v>devops-1005-evidence.txt</x:v>
      </x:c>
    </x:row>
    <x:row r="7">
      <x:c r="A7" s="14" t="str">
        <x:v>Incident</x:v>
      </x:c>
      <x:c r="B7" s="14" t="str">
        <x:v>DEVOPS-1006</x:v>
      </x:c>
      <x:c r="C7" s="14" t="str">
        <x:v>10006</x:v>
      </x:c>
      <x:c r="D7" s="14" t="str">
        <x:v>DEVOPS</x:v>
      </x:c>
      <x:c r="E7" s="14" t="str">
        <x:v>DevOps Operations</x:v>
      </x:c>
      <x:c r="F7" s="14" t="str">
        <x:v>OOMKilled por heap Java sin margen de memoria nativa</x:v>
      </x:c>
      <x:c r="G7" s="14" t="str">
        <x:v>Incidente sintético de PoC relacionado con oomkilled por heap java sin margen de memoria nativa. Se requiere triage y diagnóstico inicial.</x:v>
      </x:c>
      <x:c r="H7" s="14" t="str">
        <x:v>DEV</x:v>
      </x:c>
      <x:c r="I7" s="14" t="str">
        <x:v>Done</x:v>
      </x:c>
      <x:c r="J7" s="14" t="str">
        <x:v>Fixed</x:v>
      </x:c>
      <x:c r="K7" s="14" t="str">
        <x:v>Medium</x:v>
      </x:c>
      <x:c r="L7" s="14" t="str">
        <x:v>specialist02</x:v>
      </x:c>
      <x:c r="M7" s="14" t="str">
        <x:v>dev06</x:v>
      </x:c>
      <x:c r="N7" s="14" t="str">
        <x:v>dev06</x:v>
      </x:c>
      <x:c r="O7" s="26" t="n">
        <x:v>46074.384722222225</x:v>
      </x:c>
      <x:c r="P7" s="26" t="n">
        <x:v>46074.52361111111</x:v>
      </x:c>
      <x:c r="Q7" s="26" t="n">
        <x:v>46074.52361111111</x:v>
      </x:c>
      <x:c r="R7" s="14" t="str">
        <x:v>Kubernetes; Java</x:v>
      </x:c>
      <x:c r="S7" s="14" t="str">
        <x:v>capacity;java;kubernetes;resources</x:v>
      </x:c>
      <x:c r="T7" s="14" t="str">
        <x:v>2026.02.21</x:v>
      </x:c>
      <x:c r="U7" s="14" t="str">
        <x:v>1.5.1</x:v>
      </x:c>
      <x:c r="V7" s="14" t="str">
        <x:v>OPS-S03</x:v>
      </x:c>
      <x:c r="W7" s="14" t="str">
        <x:v>DEVOPS-901</x:v>
      </x:c>
      <x:c r="X7" s="14" t="str">
        <x:v>4h</x:v>
      </x:c>
      <x:c r="Y7" s="14" t="str">
        <x:v>2h 55m</x:v>
      </x:c>
      <x:c r="Z7" s="14" t="str">
        <x:v>El heap máximo de JVM no dejaba margen suficiente para memoria nativa dentro del límite del contenedor.</x:v>
      </x:c>
      <x:c r="AA7" s="14" t="str">
        <x:v>Se revisó configuración JVM y límite; se redujo el heap máximo y se repitió carga controlada.</x:v>
      </x:c>
      <x:c r="AB7" s="14" t="str">
        <x:v>OOMKilled | Exit Code 137 | Java process</x:v>
      </x:c>
      <x:c r="AC7" s="14" t="str">
        <x:v>Kubernetes / Java</x:v>
      </x:c>
      <x:c r="AD7" s="14" t="str">
        <x:v>Resources / Capacity</x:v>
      </x:c>
      <x:c r="AE7" s="14" t="str">
        <x:v>calculo-api</x:v>
      </x:c>
      <x:c r="AF7" s="14" t="str">
        <x:v>deploy-dev / load-test</x:v>
      </x:c>
      <x:c r="AG7" s="14" t="str">
        <x:v>OOMKilled</x:v>
      </x:c>
      <x:c r="AH7" s="14" t="str">
        <x:v>KB-003</x:v>
      </x:c>
      <x:c r="AI7" s="14" t="str">
        <x:v>Triage completado; se recopiló evidencia y se confirmó la causa probable.</x:v>
      </x:c>
      <x:c r="AJ7" s="14" t="str">
        <x:v>Corrección aplicada por el equipo responsable; validación posterior satisfactoria.</x:v>
      </x:c>
      <x:c r="AK7" s="14" t="str">
        <x:v>devops-1006-evidence.txt</x:v>
      </x:c>
    </x:row>
    <x:row r="8">
      <x:c r="A8" s="14" t="str">
        <x:v>Incident</x:v>
      </x:c>
      <x:c r="B8" s="14" t="str">
        <x:v>DEVOPS-1007</x:v>
      </x:c>
      <x:c r="C8" s="14" t="str">
        <x:v>10007</x:v>
      </x:c>
      <x:c r="D8" s="14" t="str">
        <x:v>DEVOPS</x:v>
      </x:c>
      <x:c r="E8" s="14" t="str">
        <x:v>DevOps Operations</x:v>
      </x:c>
      <x:c r="F8" s="14" t="str">
        <x:v>Pipeline Maven falla por pruebas unitarias</x:v>
      </x:c>
      <x:c r="G8" s="14" t="str">
        <x:v>Incidente sintético de PoC relacionado con pipeline maven falla por pruebas unitarias. Se requiere triage y diagnóstico inicial.</x:v>
      </x:c>
      <x:c r="H8" s="14" t="str">
        <x:v>CI</x:v>
      </x:c>
      <x:c r="I8" s="14" t="str">
        <x:v>Done</x:v>
      </x:c>
      <x:c r="J8" s="14" t="str">
        <x:v>Fixed</x:v>
      </x:c>
      <x:c r="K8" s="14" t="str">
        <x:v>Medium</x:v>
      </x:c>
      <x:c r="L8" s="14" t="str">
        <x:v>specialist03</x:v>
      </x:c>
      <x:c r="M8" s="14" t="str">
        <x:v>dev07</x:v>
      </x:c>
      <x:c r="N8" s="14" t="str">
        <x:v>dev07</x:v>
      </x:c>
      <x:c r="O8" s="26" t="n">
        <x:v>46082.42638888889</x:v>
      </x:c>
      <x:c r="P8" s="26" t="n">
        <x:v>46082.486805555556</x:v>
      </x:c>
      <x:c r="Q8" s="26" t="n">
        <x:v>46082.486805555556</x:v>
      </x:c>
      <x:c r="R8" s="14" t="str">
        <x:v>Maven; GitHub Actions</x:v>
      </x:c>
      <x:c r="S8" s="14" t="str">
        <x:v>cd;ci;github-actions;maven;tests</x:v>
      </x:c>
      <x:c r="T8" s="14" t="str">
        <x:v>2026.03.01</x:v>
      </x:c>
      <x:c r="U8" s="14" t="str">
        <x:v>2.6.2</x:v>
      </x:c>
      <x:c r="V8" s="14" t="str">
        <x:v>OPS-S04</x:v>
      </x:c>
      <x:c r="W8" s="14" t="str">
        <x:v>DEVOPS-902</x:v>
      </x:c>
      <x:c r="X8" s="14" t="str">
        <x:v>2h</x:v>
      </x:c>
      <x:c r="Y8" s="14" t="str">
        <x:v>1h 02m</x:v>
      </x:c>
      <x:c r="Z8" s="14" t="str">
        <x:v>Un cambio en UserService alteró el comportamiento esperado y el test quedó desactualizado.</x:v>
      </x:c>
      <x:c r="AA8" s="14" t="str">
        <x:v>Se revisó el primer test fallido; se reprodujo localmente; se corrigió código/test y el pipeline posterior pasó.</x:v>
      </x:c>
      <x:c r="AB8" s="14" t="str">
        <x:v>There are test failures | BUILD FAILURE | UserServiceTest</x:v>
      </x:c>
      <x:c r="AC8" s="14" t="str">
        <x:v>Maven / GitHub Actions</x:v>
      </x:c>
      <x:c r="AD8" s="14" t="str">
        <x:v>CI/CD / Tests</x:v>
      </x:c>
      <x:c r="AE8" s="14" t="str">
        <x:v>usuarios-api</x:v>
      </x:c>
      <x:c r="AF8" s="14" t="str">
        <x:v>ci / unit-tests</x:v>
      </x:c>
      <x:c r="AG8" s="14" t="str">
        <x:v>There are test failures</x:v>
      </x:c>
      <x:c r="AH8" s="14" t="str">
        <x:v>KB-004</x:v>
      </x:c>
      <x:c r="AI8" s="14" t="str">
        <x:v>Triage completado; se recopiló evidencia y se confirmó la causa probable.</x:v>
      </x:c>
      <x:c r="AJ8" s="14" t="str">
        <x:v>Corrección aplicada por el equipo responsable; validación posterior satisfactoria.</x:v>
      </x:c>
      <x:c r="AK8" s="14" t="str">
        <x:v>devops-1007-evidence.txt</x:v>
      </x:c>
    </x:row>
    <x:row r="9">
      <x:c r="A9" s="14" t="str">
        <x:v>Incident</x:v>
      </x:c>
      <x:c r="B9" s="14" t="str">
        <x:v>DEVOPS-1008</x:v>
      </x:c>
      <x:c r="C9" s="14" t="str">
        <x:v>10008</x:v>
      </x:c>
      <x:c r="D9" s="14" t="str">
        <x:v>DEVOPS</x:v>
      </x:c>
      <x:c r="E9" s="14" t="str">
        <x:v>DevOps Operations</x:v>
      </x:c>
      <x:c r="F9" s="14" t="str">
        <x:v>Pipeline Maven falla por dependencia no resoluble</x:v>
      </x:c>
      <x:c r="G9" s="14" t="str">
        <x:v>Incidente sintético de PoC relacionado con pipeline maven falla por dependencia no resoluble. Se requiere triage y diagnóstico inicial.</x:v>
      </x:c>
      <x:c r="H9" s="14" t="str">
        <x:v>CI</x:v>
      </x:c>
      <x:c r="I9" s="14" t="str">
        <x:v>Done</x:v>
      </x:c>
      <x:c r="J9" s="14" t="str">
        <x:v>Fixed</x:v>
      </x:c>
      <x:c r="K9" s="14" t="str">
        <x:v>High</x:v>
      </x:c>
      <x:c r="L9" s="14" t="str">
        <x:v>specialist04</x:v>
      </x:c>
      <x:c r="M9" s="14" t="str">
        <x:v>dev08</x:v>
      </x:c>
      <x:c r="N9" s="14" t="str">
        <x:v>dev08</x:v>
      </x:c>
      <x:c r="O9" s="26" t="n">
        <x:v>46090.46805555555</x:v>
      </x:c>
      <x:c r="P9" s="26" t="n">
        <x:v>46090.575</x:v>
      </x:c>
      <x:c r="Q9" s="26" t="n">
        <x:v>46090.575</x:v>
      </x:c>
      <x:c r="R9" s="14" t="str">
        <x:v>Maven; CI/CD</x:v>
      </x:c>
      <x:c r="S9" s="14" t="str">
        <x:v>cd;ci;dependencies;maven</x:v>
      </x:c>
      <x:c r="T9" s="14" t="str">
        <x:v>2026.03.09</x:v>
      </x:c>
      <x:c r="U9" s="14" t="str">
        <x:v>3.7.3</x:v>
      </x:c>
      <x:c r="V9" s="14" t="str">
        <x:v>OPS-S04</x:v>
      </x:c>
      <x:c r="W9" s="14" t="str">
        <x:v>DEVOPS-902</x:v>
      </x:c>
      <x:c r="X9" s="14" t="str">
        <x:v>3h</x:v>
      </x:c>
      <x:c r="Y9" s="14" t="str">
        <x:v>2h 09m</x:v>
      </x:c>
      <x:c r="Z9" s="14" t="str">
        <x:v>El runner no estaba usando el repositorio corporativo correcto.</x:v>
      </x:c>
      <x:c r="AA9" s="14" t="str">
        <x:v>Se confirmó existencia del artefacto; se corrigió la configuración de repositorio del runner y se reejecutó el build.</x:v>
      </x:c>
      <x:c r="AB9" s="14" t="str">
        <x:v>Could not resolve dependencies | artifact not found</x:v>
      </x:c>
      <x:c r="AC9" s="14" t="str">
        <x:v>Maven / CI/CD</x:v>
      </x:c>
      <x:c r="AD9" s="14" t="str">
        <x:v>CI/CD / Dependencies</x:v>
      </x:c>
      <x:c r="AE9" s="14" t="str">
        <x:v>derivados-api</x:v>
      </x:c>
      <x:c r="AF9" s="14" t="str">
        <x:v>ci / build</x:v>
      </x:c>
      <x:c r="AG9" s="14" t="str">
        <x:v>Could not resolve dependencies</x:v>
      </x:c>
      <x:c r="AH9" s="14" t="str">
        <x:v>KB-004</x:v>
      </x:c>
      <x:c r="AI9" s="14" t="str">
        <x:v>Triage completado; se recopiló evidencia y se confirmó la causa probable.</x:v>
      </x:c>
      <x:c r="AJ9" s="14" t="str">
        <x:v>Corrección aplicada por el equipo responsable; validación posterior satisfactoria.</x:v>
      </x:c>
      <x:c r="AK9" s="14" t="str">
        <x:v>devops-1008-evidence.txt</x:v>
      </x:c>
    </x:row>
    <x:row r="10">
      <x:c r="A10" s="14" t="str">
        <x:v>Incident</x:v>
      </x:c>
      <x:c r="B10" s="14" t="str">
        <x:v>DEVOPS-1009</x:v>
      </x:c>
      <x:c r="C10" s="14" t="str">
        <x:v>10009</x:v>
      </x:c>
      <x:c r="D10" s="14" t="str">
        <x:v>DEVOPS</x:v>
      </x:c>
      <x:c r="E10" s="14" t="str">
        <x:v>DevOps Operations</x:v>
      </x:c>
      <x:c r="F10" s="14" t="str">
        <x:v>Quality Gate de SonarQube falla por cobertura en código nuevo</x:v>
      </x:c>
      <x:c r="G10" s="14" t="str">
        <x:v>Incidente sintético de PoC relacionado con quality gate de sonarqube falla por cobertura en código nuevo. Se requiere triage y diagnóstico inicial.</x:v>
      </x:c>
      <x:c r="H10" s="14" t="str">
        <x:v>CI</x:v>
      </x:c>
      <x:c r="I10" s="14" t="str">
        <x:v>Done</x:v>
      </x:c>
      <x:c r="J10" s="14" t="str">
        <x:v>Fixed</x:v>
      </x:c>
      <x:c r="K10" s="14" t="str">
        <x:v>Medium</x:v>
      </x:c>
      <x:c r="L10" s="14" t="str">
        <x:v>specialist01</x:v>
      </x:c>
      <x:c r="M10" s="14" t="str">
        <x:v>dev09</x:v>
      </x:c>
      <x:c r="N10" s="14" t="str">
        <x:v>dev09</x:v>
      </x:c>
      <x:c r="O10" s="26" t="n">
        <x:v>46098.509722222225</x:v>
      </x:c>
      <x:c r="P10" s="26" t="n">
        <x:v>46098.663194444445</x:v>
      </x:c>
      <x:c r="Q10" s="26" t="n">
        <x:v>46098.663194444445</x:v>
      </x:c>
      <x:c r="R10" s="14" t="str">
        <x:v>SonarQube; CI/CD</x:v>
      </x:c>
      <x:c r="S10" s="14" t="str">
        <x:v>cd;ci;quality;sonarqube</x:v>
      </x:c>
      <x:c r="T10" s="14" t="str">
        <x:v>2026.03.17</x:v>
      </x:c>
      <x:c r="U10" s="14" t="str">
        <x:v>4.8.0</x:v>
      </x:c>
      <x:c r="V10" s="14" t="str">
        <x:v>OPS-S05</x:v>
      </x:c>
      <x:c r="W10" s="14" t="str">
        <x:v>DEVOPS-902</x:v>
      </x:c>
      <x:c r="X10" s="14" t="str">
        <x:v>4h</x:v>
      </x:c>
      <x:c r="Y10" s="14" t="str">
        <x:v>1h 16m</x:v>
      </x:c>
      <x:c r="Z10" s="14" t="str">
        <x:v>Archivos nuevos quedaron sin pruebas y la cobertura cayó por debajo del umbral.</x:v>
      </x:c>
      <x:c r="AA10" s="14" t="str">
        <x:v>Se revisó la condición fallida; se agregaron pruebas; se ejecutó un nuevo análisis y el gate pasó.</x:v>
      </x:c>
      <x:c r="AB10" s="14" t="str">
        <x:v>QUALITY GATE STATUS: FAILED | Coverage on New Code is 42.3%</x:v>
      </x:c>
      <x:c r="AC10" s="14" t="str">
        <x:v>SonarQube / CI/CD</x:v>
      </x:c>
      <x:c r="AD10" s="14" t="str">
        <x:v>CI/CD / Quality</x:v>
      </x:c>
      <x:c r="AE10" s="14" t="str">
        <x:v>portal-backend</x:v>
      </x:c>
      <x:c r="AF10" s="14" t="str">
        <x:v>ci / sonar</x:v>
      </x:c>
      <x:c r="AG10" s="14" t="str">
        <x:v>QUALITY GATE STATUS: FAILED</x:v>
      </x:c>
      <x:c r="AH10" s="14" t="str">
        <x:v>KB-005</x:v>
      </x:c>
      <x:c r="AI10" s="14" t="str">
        <x:v>Triage completado; se recopiló evidencia y se confirmó la causa probable.</x:v>
      </x:c>
      <x:c r="AJ10" s="14" t="str">
        <x:v>Corrección aplicada por el equipo responsable; validación posterior satisfactoria.</x:v>
      </x:c>
      <x:c r="AK10" s="14" t="str">
        <x:v>devops-1009-evidence.txt</x:v>
      </x:c>
    </x:row>
    <x:row r="11">
      <x:c r="A11" s="14" t="str">
        <x:v>Incident</x:v>
      </x:c>
      <x:c r="B11" s="14" t="str">
        <x:v>DEVOPS-1010</x:v>
      </x:c>
      <x:c r="C11" s="14" t="str">
        <x:v>10010</x:v>
      </x:c>
      <x:c r="D11" s="14" t="str">
        <x:v>DEVOPS</x:v>
      </x:c>
      <x:c r="E11" s="14" t="str">
        <x:v>DevOps Operations</x:v>
      </x:c>
      <x:c r="F11" s="14" t="str">
        <x:v>SonarQube reporta cobertura 0 por lcov ausente</x:v>
      </x:c>
      <x:c r="G11" s="14" t="str">
        <x:v>Incidente sintético de PoC relacionado con sonarqube reporta cobertura 0 por lcov ausente. Se requiere triage y diagnóstico inicial.</x:v>
      </x:c>
      <x:c r="H11" s="14" t="str">
        <x:v>CI</x:v>
      </x:c>
      <x:c r="I11" s="14" t="str">
        <x:v>Done</x:v>
      </x:c>
      <x:c r="J11" s="14" t="str">
        <x:v>Fixed</x:v>
      </x:c>
      <x:c r="K11" s="14" t="str">
        <x:v>Medium</x:v>
      </x:c>
      <x:c r="L11" s="14" t="str">
        <x:v>specialist02</x:v>
      </x:c>
      <x:c r="M11" s="14" t="str">
        <x:v>dev01</x:v>
      </x:c>
      <x:c r="N11" s="14" t="str">
        <x:v>dev01</x:v>
      </x:c>
      <x:c r="O11" s="26" t="n">
        <x:v>46106.55138888889</x:v>
      </x:c>
      <x:c r="P11" s="26" t="n">
        <x:v>46106.626388888886</x:v>
      </x:c>
      <x:c r="Q11" s="26" t="n">
        <x:v>46106.626388888886</x:v>
      </x:c>
      <x:c r="R11" s="14" t="str">
        <x:v>SonarQube; Angular</x:v>
      </x:c>
      <x:c r="S11" s="14" t="str">
        <x:v>angular;cd;ci;quality;sonarqube</x:v>
      </x:c>
      <x:c r="T11" s="14" t="str">
        <x:v>2026.03.25</x:v>
      </x:c>
      <x:c r="U11" s="14" t="str">
        <x:v>5.9.1</x:v>
      </x:c>
      <x:c r="V11" s="14" t="str">
        <x:v>OPS-S05</x:v>
      </x:c>
      <x:c r="W11" s="14" t="str">
        <x:v>DEVOPS-903</x:v>
      </x:c>
      <x:c r="X11" s="14" t="str">
        <x:v>2h</x:v>
      </x:c>
      <x:c r="Y11" s="14" t="str">
        <x:v>2h 23m</x:v>
      </x:c>
      <x:c r="Z11" s="14" t="str">
        <x:v>La ruta configurada no coincidía con el lcov.info generado.</x:v>
      </x:c>
      <x:c r="AA11" s="14" t="str">
        <x:v>Se verificó la generación del archivo; se corrigió la ruta; se reejecutó scanner y se validó importación.</x:v>
      </x:c>
      <x:c r="AB11" s="14" t="str">
        <x:v>No LCOV files were found using sonar.javascript.lcov.reportPaths</x:v>
      </x:c>
      <x:c r="AC11" s="14" t="str">
        <x:v>SonarQube / Angular</x:v>
      </x:c>
      <x:c r="AD11" s="14" t="str">
        <x:v>CI/CD / Quality</x:v>
      </x:c>
      <x:c r="AE11" s="14" t="str">
        <x:v>portal-web</x:v>
      </x:c>
      <x:c r="AF11" s="14" t="str">
        <x:v>ci / sonar</x:v>
      </x:c>
      <x:c r="AG11" s="14" t="str">
        <x:v>No LCOV files were found using sonar.javascript.lcov.reportPaths</x:v>
      </x:c>
      <x:c r="AH11" s="14" t="str">
        <x:v>KB-005</x:v>
      </x:c>
      <x:c r="AI11" s="14" t="str">
        <x:v>Triage completado; se recopiló evidencia y se confirmó la causa probable.</x:v>
      </x:c>
      <x:c r="AJ11" s="14" t="str">
        <x:v>Corrección aplicada por el equipo responsable; validación posterior satisfactoria.</x:v>
      </x:c>
      <x:c r="AK11" s="14" t="str">
        <x:v>devops-1010-evidence.txt</x:v>
      </x:c>
    </x:row>
    <x:row r="12">
      <x:c r="A12" s="14" t="str">
        <x:v>Incident</x:v>
      </x:c>
      <x:c r="B12" s="14" t="str">
        <x:v>DEVOPS-1011</x:v>
      </x:c>
      <x:c r="C12" s="14" t="str">
        <x:v>10011</x:v>
      </x:c>
      <x:c r="D12" s="14" t="str">
        <x:v>DEVOPS</x:v>
      </x:c>
      <x:c r="E12" s="14" t="str">
        <x:v>DevOps Operations</x:v>
      </x:c>
      <x:c r="F12" s="14" t="str">
        <x:v>Deployment exceeded its progress deadline por readiness 404</x:v>
      </x:c>
      <x:c r="G12" s="14" t="str">
        <x:v>Incidente sintético de PoC relacionado con deployment exceeded its progress deadline por readiness 404. Se requiere triage y diagnóstico inicial.</x:v>
      </x:c>
      <x:c r="H12" s="14" t="str">
        <x:v>UAT</x:v>
      </x:c>
      <x:c r="I12" s="14" t="str">
        <x:v>Done</x:v>
      </x:c>
      <x:c r="J12" s="14" t="str">
        <x:v>Fixed</x:v>
      </x:c>
      <x:c r="K12" s="14" t="str">
        <x:v>High</x:v>
      </x:c>
      <x:c r="L12" s="14" t="str">
        <x:v>specialist03</x:v>
      </x:c>
      <x:c r="M12" s="14" t="str">
        <x:v>dev02</x:v>
      </x:c>
      <x:c r="N12" s="14" t="str">
        <x:v>dev02</x:v>
      </x:c>
      <x:c r="O12" s="26" t="n">
        <x:v>46114.384722222225</x:v>
      </x:c>
      <x:c r="P12" s="26" t="n">
        <x:v>46114.481944444444</x:v>
      </x:c>
      <x:c r="Q12" s="26" t="n">
        <x:v>46114.481944444444</x:v>
      </x:c>
      <x:c r="R12" s="14" t="str">
        <x:v>Kubernetes</x:v>
      </x:c>
      <x:c r="S12" s="14" t="str">
        <x:v>deployment;health;kubernetes</x:v>
      </x:c>
      <x:c r="T12" s="14" t="str">
        <x:v>2026.04.02</x:v>
      </x:c>
      <x:c r="U12" s="14" t="str">
        <x:v>1.0.2</x:v>
      </x:c>
      <x:c r="V12" s="14" t="str">
        <x:v>OPS-S06</x:v>
      </x:c>
      <x:c r="W12" s="14" t="str">
        <x:v>DEVOPS-903</x:v>
      </x:c>
      <x:c r="X12" s="14" t="str">
        <x:v>3h</x:v>
      </x:c>
      <x:c r="Y12" s="14" t="str">
        <x:v>1h 30m</x:v>
      </x:c>
      <x:c r="Z12" s="14" t="str">
        <x:v>La readiness probe apuntaba a una ruta que cambió en la nueva versión.</x:v>
      </x:c>
      <x:c r="AA12" s="14" t="str">
        <x:v>Se revisaron conditions y probes; se corrigió la ruta de readiness y se validó disponibilidad.</x:v>
      </x:c>
      <x:c r="AB12" s="14" t="str">
        <x:v>ProgressDeadlineExceeded | readiness probe HTTP 404</x:v>
      </x:c>
      <x:c r="AC12" s="14" t="str">
        <x:v>Kubernetes</x:v>
      </x:c>
      <x:c r="AD12" s="14" t="str">
        <x:v>Deployment / Health</x:v>
      </x:c>
      <x:c r="AE12" s="14" t="str">
        <x:v>monitoreo-api</x:v>
      </x:c>
      <x:c r="AF12" s="14" t="str">
        <x:v>deploy-uat / rollout</x:v>
      </x:c>
      <x:c r="AG12" s="14" t="str">
        <x:v>ProgressDeadlineExceeded</x:v>
      </x:c>
      <x:c r="AH12" s="14" t="str">
        <x:v>KB-006</x:v>
      </x:c>
      <x:c r="AI12" s="14" t="str">
        <x:v>Triage completado; se recopiló evidencia y se confirmó la causa probable.</x:v>
      </x:c>
      <x:c r="AJ12" s="14" t="str">
        <x:v>Corrección aplicada por el equipo responsable; validación posterior satisfactoria.</x:v>
      </x:c>
      <x:c r="AK12" s="14" t="str">
        <x:v>devops-1011-evidence.txt</x:v>
      </x:c>
    </x:row>
    <x:row r="13">
      <x:c r="A13" s="14" t="str">
        <x:v>Incident</x:v>
      </x:c>
      <x:c r="B13" s="14" t="str">
        <x:v>DEVOPS-1012</x:v>
      </x:c>
      <x:c r="C13" s="14" t="str">
        <x:v>10012</x:v>
      </x:c>
      <x:c r="D13" s="14" t="str">
        <x:v>DEVOPS</x:v>
      </x:c>
      <x:c r="E13" s="14" t="str">
        <x:v>DevOps Operations</x:v>
      </x:c>
      <x:c r="F13" s="14" t="str">
        <x:v>Readiness probe falla por puerto incorrecto</x:v>
      </x:c>
      <x:c r="G13" s="14" t="str">
        <x:v>Incidente sintético de PoC relacionado con readiness probe falla por puerto incorrecto. Se requiere triage y diagnóstico inicial.</x:v>
      </x:c>
      <x:c r="H13" s="14" t="str">
        <x:v>DEV</x:v>
      </x:c>
      <x:c r="I13" s="14" t="str">
        <x:v>Done</x:v>
      </x:c>
      <x:c r="J13" s="14" t="str">
        <x:v>Fixed</x:v>
      </x:c>
      <x:c r="K13" s="14" t="str">
        <x:v>Medium</x:v>
      </x:c>
      <x:c r="L13" s="14" t="str">
        <x:v>specialist04</x:v>
      </x:c>
      <x:c r="M13" s="14" t="str">
        <x:v>dev03</x:v>
      </x:c>
      <x:c r="N13" s="14" t="str">
        <x:v>dev03</x:v>
      </x:c>
      <x:c r="O13" s="26" t="n">
        <x:v>46122.42638888889</x:v>
      </x:c>
      <x:c r="P13" s="26" t="n">
        <x:v>46122.57013888889</x:v>
      </x:c>
      <x:c r="Q13" s="26" t="n">
        <x:v>46122.57013888889</x:v>
      </x:c>
      <x:c r="R13" s="14" t="str">
        <x:v>Kubernetes</x:v>
      </x:c>
      <x:c r="S13" s="14" t="str">
        <x:v>deployment;health;kubernetes</x:v>
      </x:c>
      <x:c r="T13" s="14" t="str">
        <x:v>2026.04.10</x:v>
      </x:c>
      <x:c r="U13" s="14" t="str">
        <x:v>2.1.3</x:v>
      </x:c>
      <x:c r="V13" s="14" t="str">
        <x:v>OPS-S06</x:v>
      </x:c>
      <x:c r="W13" s="14" t="str">
        <x:v>DEVOPS-903</x:v>
      </x:c>
      <x:c r="X13" s="14" t="str">
        <x:v>4h</x:v>
      </x:c>
      <x:c r="Y13" s="14" t="str">
        <x:v>2h 37m</x:v>
      </x:c>
      <x:c r="Z13" s="14" t="str">
        <x:v>La readiness consultaba 8080 y el contenedor escuchaba 8081.</x:v>
      </x:c>
      <x:c r="AA13" s="14" t="str">
        <x:v>Se comparó containerPort con probe; se corrigió el puerto y se verificó Ready=true.</x:v>
      </x:c>
      <x:c r="AB13" s="14" t="str">
        <x:v>Readiness probe failed: connection refused | ProgressDeadlineExceeded</x:v>
      </x:c>
      <x:c r="AC13" s="14" t="str">
        <x:v>Kubernetes</x:v>
      </x:c>
      <x:c r="AD13" s="14" t="str">
        <x:v>Deployment / Health</x:v>
      </x:c>
      <x:c r="AE13" s="14" t="str">
        <x:v>catalogos-api</x:v>
      </x:c>
      <x:c r="AF13" s="14" t="str">
        <x:v>deploy-dev / rollout</x:v>
      </x:c>
      <x:c r="AG13" s="14" t="str">
        <x:v>Readiness probe failed: connection refused</x:v>
      </x:c>
      <x:c r="AH13" s="14" t="str">
        <x:v>KB-006</x:v>
      </x:c>
      <x:c r="AI13" s="14" t="str">
        <x:v>Triage completado; se recopiló evidencia y se confirmó la causa probable.</x:v>
      </x:c>
      <x:c r="AJ13" s="14" t="str">
        <x:v>Corrección aplicada por el equipo responsable; validación posterior satisfactoria.</x:v>
      </x:c>
      <x:c r="AK13" s="14" t="str">
        <x:v>devops-1012-evidence.txt</x:v>
      </x:c>
    </x:row>
    <x:row r="14">
      <x:c r="A14" s="14" t="str">
        <x:v>Incident</x:v>
      </x:c>
      <x:c r="B14" s="14" t="str">
        <x:v>DEVOPS-1013</x:v>
      </x:c>
      <x:c r="C14" s="14" t="str">
        <x:v>10013</x:v>
      </x:c>
      <x:c r="D14" s="14" t="str">
        <x:v>DEVOPS</x:v>
      </x:c>
      <x:c r="E14" s="14" t="str">
        <x:v>DevOps Operations</x:v>
      </x:c>
      <x:c r="F14" s="14" t="str">
        <x:v>Docker build falla por espacio insuficiente en runner</x:v>
      </x:c>
      <x:c r="G14" s="14" t="str">
        <x:v>Incidente sintético de PoC relacionado con docker build falla por espacio insuficiente en runner. Se requiere triage y diagnóstico inicial.</x:v>
      </x:c>
      <x:c r="H14" s="14" t="str">
        <x:v>CI</x:v>
      </x:c>
      <x:c r="I14" s="14" t="str">
        <x:v>Done</x:v>
      </x:c>
      <x:c r="J14" s="14" t="str">
        <x:v>Fixed</x:v>
      </x:c>
      <x:c r="K14" s="14" t="str">
        <x:v>Medium</x:v>
      </x:c>
      <x:c r="L14" s="14" t="str">
        <x:v>specialist01</x:v>
      </x:c>
      <x:c r="M14" s="14" t="str">
        <x:v>dev04</x:v>
      </x:c>
      <x:c r="N14" s="14" t="str">
        <x:v>dev04</x:v>
      </x:c>
      <x:c r="O14" s="26" t="n">
        <x:v>46130.46805555555</x:v>
      </x:c>
      <x:c r="P14" s="26" t="n">
        <x:v>46130.53333333333</x:v>
      </x:c>
      <x:c r="Q14" s="26" t="n">
        <x:v>46130.53333333333</x:v>
      </x:c>
      <x:c r="R14" s="14" t="str">
        <x:v>Docker; CI/CD</x:v>
      </x:c>
      <x:c r="S14" s="14" t="str">
        <x:v>build;cd;ci;docker</x:v>
      </x:c>
      <x:c r="T14" s="14" t="str">
        <x:v>2026.04.18</x:v>
      </x:c>
      <x:c r="U14" s="14" t="str">
        <x:v>3.2.0</x:v>
      </x:c>
      <x:c r="V14" s="14" t="str">
        <x:v>OPS-S07</x:v>
      </x:c>
      <x:c r="W14" s="14" t="str">
        <x:v>DEVOPS-904</x:v>
      </x:c>
      <x:c r="X14" s="14" t="str">
        <x:v>2h</x:v>
      </x:c>
      <x:c r="Y14" s="14" t="str">
        <x:v>1h 44m</x:v>
      </x:c>
      <x:c r="Z14" s="14" t="str">
        <x:v>El runner self-hosted acumuló imágenes y capas antiguas hasta agotar filesystem.</x:v>
      </x:c>
      <x:c r="AA14" s="14" t="str">
        <x:v>Se verificó uso de disco; se aplicó el procedimiento de mantenimiento autorizado y se ajustó mantenimiento preventivo.</x:v>
      </x:c>
      <x:c r="AB14" s="14" t="str">
        <x:v>failed to register layer: no space left on device</x:v>
      </x:c>
      <x:c r="AC14" s="14" t="str">
        <x:v>Docker / CI/CD</x:v>
      </x:c>
      <x:c r="AD14" s="14" t="str">
        <x:v>CI/CD / Build</x:v>
      </x:c>
      <x:c r="AE14" s="14" t="str">
        <x:v>runner-self-hosted</x:v>
      </x:c>
      <x:c r="AF14" s="14" t="str">
        <x:v>ci / docker-build</x:v>
      </x:c>
      <x:c r="AG14" s="14" t="str">
        <x:v>failed to register layer: no space left on device</x:v>
      </x:c>
      <x:c r="AH14" s="14" t="str">
        <x:v>KB-007</x:v>
      </x:c>
      <x:c r="AI14" s="14" t="str">
        <x:v>Triage completado; se recopiló evidencia y se confirmó la causa probable.</x:v>
      </x:c>
      <x:c r="AJ14" s="14" t="str">
        <x:v>Corrección aplicada por el equipo responsable; validación posterior satisfactoria.</x:v>
      </x:c>
      <x:c r="AK14" s="14" t="str">
        <x:v>devops-1013-evidence.txt</x:v>
      </x:c>
    </x:row>
    <x:row r="15">
      <x:c r="A15" s="14" t="str">
        <x:v>Incident</x:v>
      </x:c>
      <x:c r="B15" s="14" t="str">
        <x:v>DEVOPS-1014</x:v>
      </x:c>
      <x:c r="C15" s="14" t="str">
        <x:v>10014</x:v>
      </x:c>
      <x:c r="D15" s="14" t="str">
        <x:v>DEVOPS</x:v>
      </x:c>
      <x:c r="E15" s="14" t="str">
        <x:v>DevOps Operations</x:v>
      </x:c>
      <x:c r="F15" s="14" t="str">
        <x:v>PVC permanece Pending por StorageClass inexistente</x:v>
      </x:c>
      <x:c r="G15" s="14" t="str">
        <x:v>Incidente sintético de PoC relacionado con pvc permanece pending por storageclass inexistente. Se requiere triage y diagnóstico inicial.</x:v>
      </x:c>
      <x:c r="H15" s="14" t="str">
        <x:v>DEV</x:v>
      </x:c>
      <x:c r="I15" s="14" t="str">
        <x:v>Done</x:v>
      </x:c>
      <x:c r="J15" s="14" t="str">
        <x:v>Fixed</x:v>
      </x:c>
      <x:c r="K15" s="14" t="str">
        <x:v>Medium</x:v>
      </x:c>
      <x:c r="L15" s="14" t="str">
        <x:v>specialist02</x:v>
      </x:c>
      <x:c r="M15" s="14" t="str">
        <x:v>dev05</x:v>
      </x:c>
      <x:c r="N15" s="14" t="str">
        <x:v>dev05</x:v>
      </x:c>
      <x:c r="O15" s="26" t="n">
        <x:v>46138.509722222225</x:v>
      </x:c>
      <x:c r="P15" s="26" t="n">
        <x:v>46138.62152777778</x:v>
      </x:c>
      <x:c r="Q15" s="26" t="n">
        <x:v>46138.62152777778</x:v>
      </x:c>
      <x:c r="R15" s="14" t="str">
        <x:v>Kubernetes</x:v>
      </x:c>
      <x:c r="S15" s="14" t="str">
        <x:v>kubernetes;storage</x:v>
      </x:c>
      <x:c r="T15" s="14" t="str">
        <x:v>2026.04.26</x:v>
      </x:c>
      <x:c r="U15" s="14" t="str">
        <x:v>4.3.1</x:v>
      </x:c>
      <x:c r="V15" s="14" t="str">
        <x:v>OPS-S07</x:v>
      </x:c>
      <x:c r="W15" s="14" t="str">
        <x:v>DEVOPS-904</x:v>
      </x:c>
      <x:c r="X15" s="14" t="str">
        <x:v>3h</x:v>
      </x:c>
      <x:c r="Y15" s="14" t="str">
        <x:v>2h 51m</x:v>
      </x:c>
      <x:c r="Z15" s="14" t="str">
        <x:v>El manifiesto solicitaba una StorageClass no disponible en el cluster.</x:v>
      </x:c>
      <x:c r="AA15" s="14" t="str">
        <x:v>Se revisaron eventos y clases disponibles; se corrigió referencia según estándar y el PVC pasó a Bound.</x:v>
      </x:c>
      <x:c r="AB15" s="14" t="str">
        <x:v>PVC Pending | storageclass.storage.k8s.io "fast-ssd" not found</x:v>
      </x:c>
      <x:c r="AC15" s="14" t="str">
        <x:v>Kubernetes</x:v>
      </x:c>
      <x:c r="AD15" s="14" t="str">
        <x:v>Storage</x:v>
      </x:c>
      <x:c r="AE15" s="14" t="str">
        <x:v>documentos-api</x:v>
      </x:c>
      <x:c r="AF15" s="14" t="str">
        <x:v>deploy-dev / deploy</x:v>
      </x:c>
      <x:c r="AG15" s="14" t="str">
        <x:v>PVC Pending</x:v>
      </x:c>
      <x:c r="AH15" s="14" t="str">
        <x:v>KB-008</x:v>
      </x:c>
      <x:c r="AI15" s="14" t="str">
        <x:v>Triage completado; se recopiló evidencia y se confirmó la causa probable.</x:v>
      </x:c>
      <x:c r="AJ15" s="14" t="str">
        <x:v>Corrección aplicada por el equipo responsable; validación posterior satisfactoria.</x:v>
      </x:c>
      <x:c r="AK15" s="14" t="str">
        <x:v>devops-1014-evidence.txt</x:v>
      </x:c>
    </x:row>
    <x:row r="16">
      <x:c r="A16" s="14" t="str">
        <x:v>Incident</x:v>
      </x:c>
      <x:c r="B16" s="14" t="str">
        <x:v>DEVOPS-1015</x:v>
      </x:c>
      <x:c r="C16" s="14" t="str">
        <x:v>10015</x:v>
      </x:c>
      <x:c r="D16" s="14" t="str">
        <x:v>DEVOPS</x:v>
      </x:c>
      <x:c r="E16" s="14" t="str">
        <x:v>DevOps Operations</x:v>
      </x:c>
      <x:c r="F16" s="14" t="str">
        <x:v>Pod Pending por CPU insuficiente</x:v>
      </x:c>
      <x:c r="G16" s="14" t="str">
        <x:v>Incidente sintético de PoC relacionado con pod pending por cpu insuficiente. Se requiere triage y diagnóstico inicial.</x:v>
      </x:c>
      <x:c r="H16" s="14" t="str">
        <x:v>UAT</x:v>
      </x:c>
      <x:c r="I16" s="14" t="str">
        <x:v>Done</x:v>
      </x:c>
      <x:c r="J16" s="14" t="str">
        <x:v>Fixed</x:v>
      </x:c>
      <x:c r="K16" s="14" t="str">
        <x:v>High</x:v>
      </x:c>
      <x:c r="L16" s="14" t="str">
        <x:v>specialist03</x:v>
      </x:c>
      <x:c r="M16" s="14" t="str">
        <x:v>dev06</x:v>
      </x:c>
      <x:c r="N16" s="14" t="str">
        <x:v>dev06</x:v>
      </x:c>
      <x:c r="O16" s="26" t="n">
        <x:v>46146.55138888889</x:v>
      </x:c>
      <x:c r="P16" s="26" t="n">
        <x:v>46146.70972222222</x:v>
      </x:c>
      <x:c r="Q16" s="26" t="n">
        <x:v>46146.70972222222</x:v>
      </x:c>
      <x:c r="R16" s="14" t="str">
        <x:v>Kubernetes</x:v>
      </x:c>
      <x:c r="S16" s="14" t="str">
        <x:v>capacity;kubernetes;resources</x:v>
      </x:c>
      <x:c r="T16" s="14" t="str">
        <x:v>2026.05.04</x:v>
      </x:c>
      <x:c r="U16" s="14" t="str">
        <x:v>5.4.2</x:v>
      </x:c>
      <x:c r="V16" s="14" t="str">
        <x:v>OPS-S08</x:v>
      </x:c>
      <x:c r="W16" s="14" t="str">
        <x:v>DEVOPS-904</x:v>
      </x:c>
      <x:c r="X16" s="14" t="str">
        <x:v>4h</x:v>
      </x:c>
      <x:c r="Y16" s="14" t="str">
        <x:v>1h 58m</x:v>
      </x:c>
      <x:c r="Z16" s="14" t="str">
        <x:v>Las requests de CPU del deployment no podían ser satisfechas por los nodos disponibles.</x:v>
      </x:c>
      <x:c r="AA16" s="14" t="str">
        <x:v>Se revisaron eventos y capacidad; se ajustaron requests con base en medición y se validó scheduling.</x:v>
      </x:c>
      <x:c r="AB16" s="14" t="str">
        <x:v>0/3 nodes are available: 3 Insufficient cpu | Pending</x:v>
      </x:c>
      <x:c r="AC16" s="14" t="str">
        <x:v>Kubernetes</x:v>
      </x:c>
      <x:c r="AD16" s="14" t="str">
        <x:v>Resources / Capacity</x:v>
      </x:c>
      <x:c r="AE16" s="14" t="str">
        <x:v>calculo-batch</x:v>
      </x:c>
      <x:c r="AF16" s="14" t="str">
        <x:v>deploy-uat / rollout</x:v>
      </x:c>
      <x:c r="AG16" s="14" t="str">
        <x:v>0/3 nodes are available: 3 Insufficient cpu</x:v>
      </x:c>
      <x:c r="AH16" s="14" t="str">
        <x:v>KB-008</x:v>
      </x:c>
      <x:c r="AI16" s="14" t="str">
        <x:v>Triage completado; se recopiló evidencia y se confirmó la causa probable.</x:v>
      </x:c>
      <x:c r="AJ16" s="14" t="str">
        <x:v>Corrección aplicada por el equipo responsable; validación posterior satisfactoria.</x:v>
      </x:c>
      <x:c r="AK16" s="14" t="str">
        <x:v>devops-1015-evidence.txt</x:v>
      </x:c>
    </x:row>
    <x:row r="17">
      <x:c r="A17" s="14" t="str">
        <x:v>Incident</x:v>
      </x:c>
      <x:c r="B17" s="14" t="str">
        <x:v>DEVOPS-1016</x:v>
      </x:c>
      <x:c r="C17" s="14" t="str">
        <x:v>10016</x:v>
      </x:c>
      <x:c r="D17" s="14" t="str">
        <x:v>DEVOPS</x:v>
      </x:c>
      <x:c r="E17" s="14" t="str">
        <x:v>DevOps Operations</x:v>
      </x:c>
      <x:c r="F17" s="14" t="str">
        <x:v>Checkout de repositorio falla por token revocado</x:v>
      </x:c>
      <x:c r="G17" s="14" t="str">
        <x:v>Incidente sintético de PoC relacionado con checkout de repositorio falla por token revocado. Se requiere triage y diagnóstico inicial.</x:v>
      </x:c>
      <x:c r="H17" s="14" t="str">
        <x:v>CI</x:v>
      </x:c>
      <x:c r="I17" s="14" t="str">
        <x:v>Done</x:v>
      </x:c>
      <x:c r="J17" s="14" t="str">
        <x:v>Fixed</x:v>
      </x:c>
      <x:c r="K17" s="14" t="str">
        <x:v>High</x:v>
      </x:c>
      <x:c r="L17" s="14" t="str">
        <x:v>specialist04</x:v>
      </x:c>
      <x:c r="M17" s="14" t="str">
        <x:v>dev07</x:v>
      </x:c>
      <x:c r="N17" s="14" t="str">
        <x:v>dev07</x:v>
      </x:c>
      <x:c r="O17" s="26" t="n">
        <x:v>46154.384722222225</x:v>
      </x:c>
      <x:c r="P17" s="26" t="n">
        <x:v>46154.44027777778</x:v>
      </x:c>
      <x:c r="Q17" s="26" t="n">
        <x:v>46154.44027777778</x:v>
      </x:c>
      <x:c r="R17" s="14" t="str">
        <x:v>Git; CI/CD</x:v>
      </x:c>
      <x:c r="S17" s="14" t="str">
        <x:v>authentication;cd;ci;git</x:v>
      </x:c>
      <x:c r="T17" s="14" t="str">
        <x:v>2026.05.12</x:v>
      </x:c>
      <x:c r="U17" s="14" t="str">
        <x:v>1.5.3</x:v>
      </x:c>
      <x:c r="V17" s="14" t="str">
        <x:v>OPS-S08</x:v>
      </x:c>
      <x:c r="W17" s="14" t="str">
        <x:v>DEVOPS-905</x:v>
      </x:c>
      <x:c r="X17" s="14" t="str">
        <x:v>2h</x:v>
      </x:c>
      <x:c r="Y17" s="14" t="str">
        <x:v>2h 05m</x:v>
      </x:c>
      <x:c r="Z17" s="14" t="str">
        <x:v>El token del runner había sido revocado.</x:v>
      </x:c>
      <x:c r="AA17" s="14" t="str">
        <x:v>Se confirmó disponibilidad del repo; se generó credencial autorizada de mínimo alcance y se actualizó por el proceso seguro.</x:v>
      </x:c>
      <x:c r="AB17" s="14" t="str">
        <x:v>fatal: Authentication failed | HTTP 401</x:v>
      </x:c>
      <x:c r="AC17" s="14" t="str">
        <x:v>Git / CI/CD</x:v>
      </x:c>
      <x:c r="AD17" s="14" t="str">
        <x:v>CI/CD / Authentication</x:v>
      </x:c>
      <x:c r="AE17" s="14" t="str">
        <x:v>repository-checkout</x:v>
      </x:c>
      <x:c r="AF17" s="14" t="str">
        <x:v>ci / checkout</x:v>
      </x:c>
      <x:c r="AG17" s="14" t="str">
        <x:v>fatal: Authentication failed</x:v>
      </x:c>
      <x:c r="AH17" s="14" t="str">
        <x:v>KB-004</x:v>
      </x:c>
      <x:c r="AI17" s="14" t="str">
        <x:v>Triage completado; se recopiló evidencia y se confirmó la causa probable.</x:v>
      </x:c>
      <x:c r="AJ17" s="14" t="str">
        <x:v>Corrección aplicada por el equipo responsable; validación posterior satisfactoria.</x:v>
      </x:c>
      <x:c r="AK17" s="14" t="str">
        <x:v>devops-1016-evidence.txt</x:v>
      </x:c>
    </x:row>
    <x:row r="18">
      <x:c r="A18" s="14" t="str">
        <x:v>Incident</x:v>
      </x:c>
      <x:c r="B18" s="14" t="str">
        <x:v>DEVOPS-1017</x:v>
      </x:c>
      <x:c r="C18" s="14" t="str">
        <x:v>10017</x:v>
      </x:c>
      <x:c r="D18" s="14" t="str">
        <x:v>DEVOPS</x:v>
      </x:c>
      <x:c r="E18" s="14" t="str">
        <x:v>DevOps Operations</x:v>
      </x:c>
      <x:c r="F18" s="14" t="str">
        <x:v>Helm upgrade falla por valor requerido ausente</x:v>
      </x:c>
      <x:c r="G18" s="14" t="str">
        <x:v>Incidente sintético de PoC relacionado con helm upgrade falla por valor requerido ausente. Se requiere triage y diagnóstico inicial.</x:v>
      </x:c>
      <x:c r="H18" s="14" t="str">
        <x:v>UAT</x:v>
      </x:c>
      <x:c r="I18" s="14" t="str">
        <x:v>Done</x:v>
      </x:c>
      <x:c r="J18" s="14" t="str">
        <x:v>Fixed</x:v>
      </x:c>
      <x:c r="K18" s="14" t="str">
        <x:v>Medium</x:v>
      </x:c>
      <x:c r="L18" s="14" t="str">
        <x:v>specialist01</x:v>
      </x:c>
      <x:c r="M18" s="14" t="str">
        <x:v>dev08</x:v>
      </x:c>
      <x:c r="N18" s="14" t="str">
        <x:v>dev08</x:v>
      </x:c>
      <x:c r="O18" s="26" t="n">
        <x:v>46162.42638888889</x:v>
      </x:c>
      <x:c r="P18" s="26" t="n">
        <x:v>46162.52847222222</x:v>
      </x:c>
      <x:c r="Q18" s="26" t="n">
        <x:v>46162.52847222222</x:v>
      </x:c>
      <x:c r="R18" s="14" t="str">
        <x:v>Helm; Kubernetes</x:v>
      </x:c>
      <x:c r="S18" s="14" t="str">
        <x:v>cd;ci;deployment;helm;kubernetes</x:v>
      </x:c>
      <x:c r="T18" s="14" t="str">
        <x:v>2026.05.20</x:v>
      </x:c>
      <x:c r="U18" s="14" t="str">
        <x:v>2.6.0</x:v>
      </x:c>
      <x:c r="V18" s="14" t="str">
        <x:v>OPS-S09</x:v>
      </x:c>
      <x:c r="W18" s="14" t="str">
        <x:v>DEVOPS-905</x:v>
      </x:c>
      <x:c r="X18" s="14" t="str">
        <x:v>3h</x:v>
      </x:c>
      <x:c r="Y18" s="14" t="str">
        <x:v>1h 12m</x:v>
      </x:c>
      <x:c r="Z18" s="14" t="str">
        <x:v>El values de UAT no definía app.image.tag requerido por la plantilla.</x:v>
      </x:c>
      <x:c r="AA18" s="14" t="str">
        <x:v>Se renderizó el chart; se corrigió el values; se validó helm template antes del upgrade real.</x:v>
      </x:c>
      <x:c r="AB18" s="14" t="str">
        <x:v>execution error at &lt;required&gt;: app.image.tag is required</x:v>
      </x:c>
      <x:c r="AC18" s="14" t="str">
        <x:v>Helm / Kubernetes</x:v>
      </x:c>
      <x:c r="AD18" s="14" t="str">
        <x:v>CI/CD / Deployment</x:v>
      </x:c>
      <x:c r="AE18" s="14" t="str">
        <x:v>portal-web</x:v>
      </x:c>
      <x:c r="AF18" s="14" t="str">
        <x:v>deploy-uat / helm-upgrade</x:v>
      </x:c>
      <x:c r="AG18" s="14" t="str">
        <x:v>execution error at &lt;required&gt;: app.image.tag is required</x:v>
      </x:c>
      <x:c r="AH18" s="14" t="str">
        <x:v>KB-006</x:v>
      </x:c>
      <x:c r="AI18" s="14" t="str">
        <x:v>Triage completado; se recopiló evidencia y se confirmó la causa probable.</x:v>
      </x:c>
      <x:c r="AJ18" s="14" t="str">
        <x:v>Corrección aplicada por el equipo responsable; validación posterior satisfactoria.</x:v>
      </x:c>
      <x:c r="AK18" s="14" t="str">
        <x:v>devops-1017-evidence.txt</x:v>
      </x:c>
    </x:row>
  </x:sheetData>
  <x:pageMargins left="0.7" right="0.7" top="0.75" bottom="0.75" header="0.3" footer="0.3"/>
  <x:tableParts count="1">
    <x:tablePart xmlns:r="http://schemas.openxmlformats.org/officeDocument/2006/relationships" r:id="Re824baa1308b4aa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" max="2" width="34" hidden="0" customWidth="1"/>
    <x:col min="3" max="3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34" hidden="0" customWidth="1"/>
  </x:cols>
  <x:sheetData>
    <x:row r="1">
      <x:c r="A1" s="30" t="str">
        <x:v>key</x:v>
      </x:c>
      <x:c r="B1" s="30" t="str">
        <x:v>summary</x:v>
      </x:c>
      <x:c r="C1" s="30" t="str">
        <x:v>description</x:v>
      </x:c>
      <x:c r="D1" s="30" t="str">
        <x:v>environment</x:v>
      </x:c>
      <x:c r="E1" s="30" t="str">
        <x:v>status</x:v>
      </x:c>
      <x:c r="F1" s="30" t="str">
        <x:v>resolution</x:v>
      </x:c>
      <x:c r="G1" s="30" t="str">
        <x:v>priority</x:v>
      </x:c>
      <x:c r="H1" s="30" t="str">
        <x:v>technology</x:v>
      </x:c>
      <x:c r="I1" s="30" t="str">
        <x:v>category</x:v>
      </x:c>
      <x:c r="J1" s="30" t="str">
        <x:v>error_signature</x:v>
      </x:c>
      <x:c r="K1" s="30" t="str">
        <x:v>root_cause</x:v>
      </x:c>
      <x:c r="L1" s="30" t="str">
        <x:v>resolution_steps</x:v>
      </x:c>
      <x:c r="M1" s="30" t="str">
        <x:v>evidence_logs</x:v>
      </x:c>
      <x:c r="N1" s="30" t="str">
        <x:v>components</x:v>
      </x:c>
      <x:c r="O1" s="30" t="str">
        <x:v>labels</x:v>
      </x:c>
      <x:c r="P1" s="30" t="str">
        <x:v>affected_service</x:v>
      </x:c>
      <x:c r="Q1" s="30" t="str">
        <x:v>pipeline_job</x:v>
      </x:c>
      <x:c r="R1" s="30" t="str">
        <x:v>knowledge_article</x:v>
      </x:c>
      <x:c r="S1" s="30" t="str">
        <x:v>created</x:v>
      </x:c>
      <x:c r="T1" s="30" t="str">
        <x:v>resolved</x:v>
      </x:c>
    </x:row>
    <x:row r="2">
      <x:c r="A2" s="14" t="str">
        <x:v>DEVOPS-1001</x:v>
      </x:c>
      <x:c r="B2" s="14" t="str">
        <x:v>ImagePullBackOff por credenciales expiradas de registry</x:v>
      </x:c>
      <x:c r="C2" s="14" t="str">
        <x:v>Incidente sintético de PoC relacionado con imagepullbackoff por credenciales expiradas de registry. Se requiere triage y diagnóstico inicial.</x:v>
      </x:c>
      <x:c r="D2" s="14" t="str">
        <x:v>UAT</x:v>
      </x:c>
      <x:c r="E2" s="14" t="str">
        <x:v>Done</x:v>
      </x:c>
      <x:c r="F2" s="14" t="str">
        <x:v>Fixed</x:v>
      </x:c>
      <x:c r="G2" s="14" t="str">
        <x:v>High</x:v>
      </x:c>
      <x:c r="H2" s="14" t="str">
        <x:v>Kubernetes</x:v>
      </x:c>
      <x:c r="I2" s="14" t="str">
        <x:v>Containers / Registry</x:v>
      </x:c>
      <x:c r="J2" s="14" t="str">
        <x:v>Failed to pull image: unauthorized: authentication required | ImagePullBackOff</x:v>
      </x:c>
      <x:c r="K2" s="14" t="str">
        <x:v>El imagePullSecret contenía credenciales expiradas para el registry privado.</x:v>
      </x:c>
      <x:c r="L2" s="14" t="str">
        <x:v>Se confirmó imagen/tag; se renovó la credencial mediante el proceso autorizado; se actualizó el imagePullSecret y se verificó un pull exitoso.</x:v>
      </x:c>
      <x:c r="M2" s="14" t="str">
        <x:v>Failed to pull image: unauthorized: authentication required</x:v>
      </x:c>
      <x:c r="N2" s="14" t="str">
        <x:v>Kubernetes</x:v>
      </x:c>
      <x:c r="O2" s="14" t="str">
        <x:v>containers;kubernetes;registry</x:v>
      </x:c>
      <x:c r="P2" s="14" t="str">
        <x:v>api-clientes</x:v>
      </x:c>
      <x:c r="Q2" s="14" t="str">
        <x:v>deploy-uat / deploy</x:v>
      </x:c>
      <x:c r="R2" s="14" t="str">
        <x:v>KB-001</x:v>
      </x:c>
      <x:c r="S2" s="26" t="n">
        <x:v>46034.384722222225</x:v>
      </x:c>
      <x:c r="T2" s="26" t="n">
        <x:v>46034.44027777778</x:v>
      </x:c>
    </x:row>
    <x:row r="3">
      <x:c r="A3" s="14" t="str">
        <x:v>DEVOPS-1002</x:v>
      </x:c>
      <x:c r="B3" s="14" t="str">
        <x:v>ImagePullBackOff por imagePullSecret inexistente</x:v>
      </x:c>
      <x:c r="C3" s="14" t="str">
        <x:v>Incidente sintético de PoC relacionado con imagepullbackoff por imagepullsecret inexistente. Se requiere triage y diagnóstico inicial.</x:v>
      </x:c>
      <x:c r="D3" s="14" t="str">
        <x:v>DEV</x:v>
      </x:c>
      <x:c r="E3" s="14" t="str">
        <x:v>Done</x:v>
      </x:c>
      <x:c r="F3" s="14" t="str">
        <x:v>Fixed</x:v>
      </x:c>
      <x:c r="G3" s="14" t="str">
        <x:v>Medium</x:v>
      </x:c>
      <x:c r="H3" s="14" t="str">
        <x:v>Kubernetes</x:v>
      </x:c>
      <x:c r="I3" s="14" t="str">
        <x:v>Containers / Registry</x:v>
      </x:c>
      <x:c r="J3" s="14" t="str">
        <x:v>FailedToRetrieveImagePullSecret | ErrImagePull | ImagePullBackOff</x:v>
      </x:c>
      <x:c r="K3" s="14" t="str">
        <x:v>El namespace nuevo no tenía el imagePullSecret requerido y el ServiceAccount no lo referenciaba.</x:v>
      </x:c>
      <x:c r="L3" s="14" t="str">
        <x:v>Se verificó el ServiceAccount; se creó el secret autorizado; se asoció y se validó el pull.</x:v>
      </x:c>
      <x:c r="M3" s="14" t="str">
        <x:v>FailedToRetrieveImagePullSecret</x:v>
      </x:c>
      <x:c r="N3" s="14" t="str">
        <x:v>Kubernetes</x:v>
      </x:c>
      <x:c r="O3" s="14" t="str">
        <x:v>containers;kubernetes;registry</x:v>
      </x:c>
      <x:c r="P3" s="14" t="str">
        <x:v>portal-api</x:v>
      </x:c>
      <x:c r="Q3" s="14" t="str">
        <x:v>deploy-dev / deploy</x:v>
      </x:c>
      <x:c r="R3" s="14" t="str">
        <x:v>KB-001</x:v>
      </x:c>
      <x:c r="S3" s="26" t="n">
        <x:v>46042.42638888889</x:v>
      </x:c>
      <x:c r="T3" s="26" t="n">
        <x:v>46042.52847222222</x:v>
      </x:c>
    </x:row>
    <x:row r="4">
      <x:c r="A4" s="14" t="str">
        <x:v>DEVOPS-1003</x:v>
      </x:c>
      <x:c r="B4" s="14" t="str">
        <x:v>CrashLoopBackOff por variable de entorno faltante</x:v>
      </x:c>
      <x:c r="C4" s="14" t="str">
        <x:v>Incidente sintético de PoC relacionado con crashloopbackoff por variable de entorno faltante. Se requiere triage y diagnóstico inicial.</x:v>
      </x:c>
      <x:c r="D4" s="14" t="str">
        <x:v>UAT</x:v>
      </x:c>
      <x:c r="E4" s="14" t="str">
        <x:v>Done</x:v>
      </x:c>
      <x:c r="F4" s="14" t="str">
        <x:v>Fixed</x:v>
      </x:c>
      <x:c r="G4" s="14" t="str">
        <x:v>High</x:v>
      </x:c>
      <x:c r="H4" s="14" t="str">
        <x:v>Kubernetes</x:v>
      </x:c>
      <x:c r="I4" s="14" t="str">
        <x:v>Runtime / Configuration</x:v>
      </x:c>
      <x:c r="J4" s="14" t="str">
        <x:v>Application startup failed: DB_SCHEMA is missing | CrashLoopBackOff</x:v>
      </x:c>
      <x:c r="K4" s="14" t="str">
        <x:v>La variable DB_SCHEMA requerida no estaba definida en el ConfigMap de UAT.</x:v>
      </x:c>
      <x:c r="L4" s="14" t="str">
        <x:v>Se revisaron logs previos; se comparó configuración DEV/UAT; se agregó DB_SCHEMA por el proceso autorizado y se validó readiness.</x:v>
      </x:c>
      <x:c r="M4" s="14" t="str">
        <x:v>Application startup failed: DB_SCHEMA is missing</x:v>
      </x:c>
      <x:c r="N4" s="14" t="str">
        <x:v>Kubernetes</x:v>
      </x:c>
      <x:c r="O4" s="14" t="str">
        <x:v>configuration;kubernetes;runtime</x:v>
      </x:c>
      <x:c r="P4" s="14" t="str">
        <x:v>boveda-api</x:v>
      </x:c>
      <x:c r="Q4" s="14" t="str">
        <x:v>deploy-uat / deploy</x:v>
      </x:c>
      <x:c r="R4" s="14" t="str">
        <x:v>KB-002</x:v>
      </x:c>
      <x:c r="S4" s="26" t="n">
        <x:v>46050.46805555555</x:v>
      </x:c>
      <x:c r="T4" s="26" t="n">
        <x:v>46050.61666666667</x:v>
      </x:c>
    </x:row>
    <x:row r="5">
      <x:c r="A5" s="14" t="str">
        <x:v>DEVOPS-1004</x:v>
      </x:c>
      <x:c r="B5" s="14" t="str">
        <x:v>CrashLoopBackOff por endpoint de base de datos incorrecto</x:v>
      </x:c>
      <x:c r="C5" s="14" t="str">
        <x:v>Incidente sintético de PoC relacionado con crashloopbackoff por endpoint de base de datos incorrecto. Se requiere triage y diagnóstico inicial.</x:v>
      </x:c>
      <x:c r="D5" s="14" t="str">
        <x:v>UAT</x:v>
      </x:c>
      <x:c r="E5" s="14" t="str">
        <x:v>Done</x:v>
      </x:c>
      <x:c r="F5" s="14" t="str">
        <x:v>Fixed</x:v>
      </x:c>
      <x:c r="G5" s="14" t="str">
        <x:v>High</x:v>
      </x:c>
      <x:c r="H5" s="14" t="str">
        <x:v>Kubernetes</x:v>
      </x:c>
      <x:c r="I5" s="14" t="str">
        <x:v>Runtime / Configuration</x:v>
      </x:c>
      <x:c r="J5" s="14" t="str">
        <x:v>SQLRecoverableException: could not establish the connection | CrashLoopBackOff</x:v>
      </x:c>
      <x:c r="K5" s="14" t="str">
        <x:v>El host de base de datos configurado en UAT no correspondía al endpoint autorizado.</x:v>
      </x:c>
      <x:c r="L5" s="14" t="str">
        <x:v>Se comparó configuración con inventario; se corrigió el valor mediante el proceso de secretos y se verificó estabilidad.</x:v>
      </x:c>
      <x:c r="M5" s="14" t="str">
        <x:v>SQLRecoverableException: could not establish the connection</x:v>
      </x:c>
      <x:c r="N5" s="14" t="str">
        <x:v>Kubernetes</x:v>
      </x:c>
      <x:c r="O5" s="14" t="str">
        <x:v>configuration;kubernetes;runtime</x:v>
      </x:c>
      <x:c r="P5" s="14" t="str">
        <x:v>estado-cuenta-api</x:v>
      </x:c>
      <x:c r="Q5" s="14" t="str">
        <x:v>deploy-uat / deploy</x:v>
      </x:c>
      <x:c r="R5" s="14" t="str">
        <x:v>KB-002</x:v>
      </x:c>
      <x:c r="S5" s="26" t="n">
        <x:v>46058.509722222225</x:v>
      </x:c>
      <x:c r="T5" s="26" t="n">
        <x:v>46058.57986111111</x:v>
      </x:c>
    </x:row>
    <x:row r="6">
      <x:c r="A6" s="14" t="str">
        <x:v>DEVOPS-1005</x:v>
      </x:c>
      <x:c r="B6" s="14" t="str">
        <x:v>OOMKilled por límite de memoria insuficiente</x:v>
      </x:c>
      <x:c r="C6" s="14" t="str">
        <x:v>Incidente sintético de PoC relacionado con oomkilled por límite de memoria insuficiente. Se requiere triage y diagnóstico inicial.</x:v>
      </x:c>
      <x:c r="D6" s="14" t="str">
        <x:v>UAT</x:v>
      </x:c>
      <x:c r="E6" s="14" t="str">
        <x:v>Done</x:v>
      </x:c>
      <x:c r="F6" s="14" t="str">
        <x:v>Fixed</x:v>
      </x:c>
      <x:c r="G6" s="14" t="str">
        <x:v>High</x:v>
      </x:c>
      <x:c r="H6" s="14" t="str">
        <x:v>Kubernetes</x:v>
      </x:c>
      <x:c r="I6" s="14" t="str">
        <x:v>Resources / Capacity</x:v>
      </x:c>
      <x:c r="J6" s="14" t="str">
        <x:v>Reason: OOMKilled | Exit Code: 137</x:v>
      </x:c>
      <x:c r="K6" s="14" t="str">
        <x:v>El límite de 512Mi era inferior al pico observado durante el procesamiento.</x:v>
      </x:c>
      <x:c r="L6" s="14" t="str">
        <x:v>Se confirmó OOMKilled; se revisó consumo; se ajustaron requests/limits con evidencia de carga y se repitió la prueba.</x:v>
      </x:c>
      <x:c r="M6" s="14" t="str">
        <x:v>Reason: OOMKilled</x:v>
      </x:c>
      <x:c r="N6" s="14" t="str">
        <x:v>Kubernetes</x:v>
      </x:c>
      <x:c r="O6" s="14" t="str">
        <x:v>capacity;kubernetes;resources</x:v>
      </x:c>
      <x:c r="P6" s="14" t="str">
        <x:v>reportes-api</x:v>
      </x:c>
      <x:c r="Q6" s="14" t="str">
        <x:v>deploy-uat / smoke-test</x:v>
      </x:c>
      <x:c r="R6" s="14" t="str">
        <x:v>KB-003</x:v>
      </x:c>
      <x:c r="S6" s="26" t="n">
        <x:v>46066.55138888889</x:v>
      </x:c>
      <x:c r="T6" s="26" t="n">
        <x:v>46066.66805555556</x:v>
      </x:c>
    </x:row>
    <x:row r="7">
      <x:c r="A7" s="14" t="str">
        <x:v>DEVOPS-1006</x:v>
      </x:c>
      <x:c r="B7" s="14" t="str">
        <x:v>OOMKilled por heap Java sin margen de memoria nativa</x:v>
      </x:c>
      <x:c r="C7" s="14" t="str">
        <x:v>Incidente sintético de PoC relacionado con oomkilled por heap java sin margen de memoria nativa. Se requiere triage y diagnóstico inicial.</x:v>
      </x:c>
      <x:c r="D7" s="14" t="str">
        <x:v>DEV</x:v>
      </x:c>
      <x:c r="E7" s="14" t="str">
        <x:v>Done</x:v>
      </x:c>
      <x:c r="F7" s="14" t="str">
        <x:v>Fixed</x:v>
      </x:c>
      <x:c r="G7" s="14" t="str">
        <x:v>Medium</x:v>
      </x:c>
      <x:c r="H7" s="14" t="str">
        <x:v>Kubernetes / Java</x:v>
      </x:c>
      <x:c r="I7" s="14" t="str">
        <x:v>Resources / Capacity</x:v>
      </x:c>
      <x:c r="J7" s="14" t="str">
        <x:v>OOMKilled | Exit Code 137 | Java process</x:v>
      </x:c>
      <x:c r="K7" s="14" t="str">
        <x:v>El heap máximo de JVM no dejaba margen suficiente para memoria nativa dentro del límite del contenedor.</x:v>
      </x:c>
      <x:c r="L7" s="14" t="str">
        <x:v>Se revisó configuración JVM y límite; se redujo el heap máximo y se repitió carga controlada.</x:v>
      </x:c>
      <x:c r="M7" s="14" t="str">
        <x:v>OOMKilled</x:v>
      </x:c>
      <x:c r="N7" s="14" t="str">
        <x:v>Kubernetes; Java</x:v>
      </x:c>
      <x:c r="O7" s="14" t="str">
        <x:v>capacity;java;kubernetes;resources</x:v>
      </x:c>
      <x:c r="P7" s="14" t="str">
        <x:v>calculo-api</x:v>
      </x:c>
      <x:c r="Q7" s="14" t="str">
        <x:v>deploy-dev / load-test</x:v>
      </x:c>
      <x:c r="R7" s="14" t="str">
        <x:v>KB-003</x:v>
      </x:c>
      <x:c r="S7" s="26" t="n">
        <x:v>46074.384722222225</x:v>
      </x:c>
      <x:c r="T7" s="26" t="n">
        <x:v>46074.52361111111</x:v>
      </x:c>
    </x:row>
    <x:row r="8">
      <x:c r="A8" s="14" t="str">
        <x:v>DEVOPS-1007</x:v>
      </x:c>
      <x:c r="B8" s="14" t="str">
        <x:v>Pipeline Maven falla por pruebas unitarias</x:v>
      </x:c>
      <x:c r="C8" s="14" t="str">
        <x:v>Incidente sintético de PoC relacionado con pipeline maven falla por pruebas unitarias. Se requiere triage y diagnóstico inicial.</x:v>
      </x:c>
      <x:c r="D8" s="14" t="str">
        <x:v>CI</x:v>
      </x:c>
      <x:c r="E8" s="14" t="str">
        <x:v>Done</x:v>
      </x:c>
      <x:c r="F8" s="14" t="str">
        <x:v>Fixed</x:v>
      </x:c>
      <x:c r="G8" s="14" t="str">
        <x:v>Medium</x:v>
      </x:c>
      <x:c r="H8" s="14" t="str">
        <x:v>Maven / GitHub Actions</x:v>
      </x:c>
      <x:c r="I8" s="14" t="str">
        <x:v>CI/CD / Tests</x:v>
      </x:c>
      <x:c r="J8" s="14" t="str">
        <x:v>There are test failures | BUILD FAILURE | UserServiceTest</x:v>
      </x:c>
      <x:c r="K8" s="14" t="str">
        <x:v>Un cambio en UserService alteró el comportamiento esperado y el test quedó desactualizado.</x:v>
      </x:c>
      <x:c r="L8" s="14" t="str">
        <x:v>Se revisó el primer test fallido; se reprodujo localmente; se corrigió código/test y el pipeline posterior pasó.</x:v>
      </x:c>
      <x:c r="M8" s="14" t="str">
        <x:v>There are test failures</x:v>
      </x:c>
      <x:c r="N8" s="14" t="str">
        <x:v>Maven; GitHub Actions</x:v>
      </x:c>
      <x:c r="O8" s="14" t="str">
        <x:v>cd;ci;github-actions;maven;tests</x:v>
      </x:c>
      <x:c r="P8" s="14" t="str">
        <x:v>usuarios-api</x:v>
      </x:c>
      <x:c r="Q8" s="14" t="str">
        <x:v>ci / unit-tests</x:v>
      </x:c>
      <x:c r="R8" s="14" t="str">
        <x:v>KB-004</x:v>
      </x:c>
      <x:c r="S8" s="26" t="n">
        <x:v>46082.42638888889</x:v>
      </x:c>
      <x:c r="T8" s="26" t="n">
        <x:v>46082.486805555556</x:v>
      </x:c>
    </x:row>
    <x:row r="9">
      <x:c r="A9" s="14" t="str">
        <x:v>DEVOPS-1008</x:v>
      </x:c>
      <x:c r="B9" s="14" t="str">
        <x:v>Pipeline Maven falla por dependencia no resoluble</x:v>
      </x:c>
      <x:c r="C9" s="14" t="str">
        <x:v>Incidente sintético de PoC relacionado con pipeline maven falla por dependencia no resoluble. Se requiere triage y diagnóstico inicial.</x:v>
      </x:c>
      <x:c r="D9" s="14" t="str">
        <x:v>CI</x:v>
      </x:c>
      <x:c r="E9" s="14" t="str">
        <x:v>Done</x:v>
      </x:c>
      <x:c r="F9" s="14" t="str">
        <x:v>Fixed</x:v>
      </x:c>
      <x:c r="G9" s="14" t="str">
        <x:v>High</x:v>
      </x:c>
      <x:c r="H9" s="14" t="str">
        <x:v>Maven / CI/CD</x:v>
      </x:c>
      <x:c r="I9" s="14" t="str">
        <x:v>CI/CD / Dependencies</x:v>
      </x:c>
      <x:c r="J9" s="14" t="str">
        <x:v>Could not resolve dependencies | artifact not found</x:v>
      </x:c>
      <x:c r="K9" s="14" t="str">
        <x:v>El runner no estaba usando el repositorio corporativo correcto.</x:v>
      </x:c>
      <x:c r="L9" s="14" t="str">
        <x:v>Se confirmó existencia del artefacto; se corrigió la configuración de repositorio del runner y se reejecutó el build.</x:v>
      </x:c>
      <x:c r="M9" s="14" t="str">
        <x:v>Could not resolve dependencies</x:v>
      </x:c>
      <x:c r="N9" s="14" t="str">
        <x:v>Maven; CI/CD</x:v>
      </x:c>
      <x:c r="O9" s="14" t="str">
        <x:v>cd;ci;dependencies;maven</x:v>
      </x:c>
      <x:c r="P9" s="14" t="str">
        <x:v>derivados-api</x:v>
      </x:c>
      <x:c r="Q9" s="14" t="str">
        <x:v>ci / build</x:v>
      </x:c>
      <x:c r="R9" s="14" t="str">
        <x:v>KB-004</x:v>
      </x:c>
      <x:c r="S9" s="26" t="n">
        <x:v>46090.46805555555</x:v>
      </x:c>
      <x:c r="T9" s="26" t="n">
        <x:v>46090.575</x:v>
      </x:c>
    </x:row>
    <x:row r="10">
      <x:c r="A10" s="14" t="str">
        <x:v>DEVOPS-1009</x:v>
      </x:c>
      <x:c r="B10" s="14" t="str">
        <x:v>Quality Gate de SonarQube falla por cobertura en código nuevo</x:v>
      </x:c>
      <x:c r="C10" s="14" t="str">
        <x:v>Incidente sintético de PoC relacionado con quality gate de sonarqube falla por cobertura en código nuevo. Se requiere triage y diagnóstico inicial.</x:v>
      </x:c>
      <x:c r="D10" s="14" t="str">
        <x:v>CI</x:v>
      </x:c>
      <x:c r="E10" s="14" t="str">
        <x:v>Done</x:v>
      </x:c>
      <x:c r="F10" s="14" t="str">
        <x:v>Fixed</x:v>
      </x:c>
      <x:c r="G10" s="14" t="str">
        <x:v>Medium</x:v>
      </x:c>
      <x:c r="H10" s="14" t="str">
        <x:v>SonarQube / CI/CD</x:v>
      </x:c>
      <x:c r="I10" s="14" t="str">
        <x:v>CI/CD / Quality</x:v>
      </x:c>
      <x:c r="J10" s="14" t="str">
        <x:v>QUALITY GATE STATUS: FAILED | Coverage on New Code is 42.3%</x:v>
      </x:c>
      <x:c r="K10" s="14" t="str">
        <x:v>Archivos nuevos quedaron sin pruebas y la cobertura cayó por debajo del umbral.</x:v>
      </x:c>
      <x:c r="L10" s="14" t="str">
        <x:v>Se revisó la condición fallida; se agregaron pruebas; se ejecutó un nuevo análisis y el gate pasó.</x:v>
      </x:c>
      <x:c r="M10" s="14" t="str">
        <x:v>QUALITY GATE STATUS: FAILED</x:v>
      </x:c>
      <x:c r="N10" s="14" t="str">
        <x:v>SonarQube; CI/CD</x:v>
      </x:c>
      <x:c r="O10" s="14" t="str">
        <x:v>cd;ci;quality;sonarqube</x:v>
      </x:c>
      <x:c r="P10" s="14" t="str">
        <x:v>portal-backend</x:v>
      </x:c>
      <x:c r="Q10" s="14" t="str">
        <x:v>ci / sonar</x:v>
      </x:c>
      <x:c r="R10" s="14" t="str">
        <x:v>KB-005</x:v>
      </x:c>
      <x:c r="S10" s="26" t="n">
        <x:v>46098.509722222225</x:v>
      </x:c>
      <x:c r="T10" s="26" t="n">
        <x:v>46098.663194444445</x:v>
      </x:c>
    </x:row>
    <x:row r="11">
      <x:c r="A11" s="14" t="str">
        <x:v>DEVOPS-1010</x:v>
      </x:c>
      <x:c r="B11" s="14" t="str">
        <x:v>SonarQube reporta cobertura 0 por lcov ausente</x:v>
      </x:c>
      <x:c r="C11" s="14" t="str">
        <x:v>Incidente sintético de PoC relacionado con sonarqube reporta cobertura 0 por lcov ausente. Se requiere triage y diagnóstico inicial.</x:v>
      </x:c>
      <x:c r="D11" s="14" t="str">
        <x:v>CI</x:v>
      </x:c>
      <x:c r="E11" s="14" t="str">
        <x:v>Done</x:v>
      </x:c>
      <x:c r="F11" s="14" t="str">
        <x:v>Fixed</x:v>
      </x:c>
      <x:c r="G11" s="14" t="str">
        <x:v>Medium</x:v>
      </x:c>
      <x:c r="H11" s="14" t="str">
        <x:v>SonarQube / Angular</x:v>
      </x:c>
      <x:c r="I11" s="14" t="str">
        <x:v>CI/CD / Quality</x:v>
      </x:c>
      <x:c r="J11" s="14" t="str">
        <x:v>No LCOV files were found using sonar.javascript.lcov.reportPaths</x:v>
      </x:c>
      <x:c r="K11" s="14" t="str">
        <x:v>La ruta configurada no coincidía con el lcov.info generado.</x:v>
      </x:c>
      <x:c r="L11" s="14" t="str">
        <x:v>Se verificó la generación del archivo; se corrigió la ruta; se reejecutó scanner y se validó importación.</x:v>
      </x:c>
      <x:c r="M11" s="14" t="str">
        <x:v>No LCOV files were found using sonar.javascript.lcov.reportPaths</x:v>
      </x:c>
      <x:c r="N11" s="14" t="str">
        <x:v>SonarQube; Angular</x:v>
      </x:c>
      <x:c r="O11" s="14" t="str">
        <x:v>angular;cd;ci;quality;sonarqube</x:v>
      </x:c>
      <x:c r="P11" s="14" t="str">
        <x:v>portal-web</x:v>
      </x:c>
      <x:c r="Q11" s="14" t="str">
        <x:v>ci / sonar</x:v>
      </x:c>
      <x:c r="R11" s="14" t="str">
        <x:v>KB-005</x:v>
      </x:c>
      <x:c r="S11" s="26" t="n">
        <x:v>46106.55138888889</x:v>
      </x:c>
      <x:c r="T11" s="26" t="n">
        <x:v>46106.626388888886</x:v>
      </x:c>
    </x:row>
    <x:row r="12">
      <x:c r="A12" s="14" t="str">
        <x:v>DEVOPS-1011</x:v>
      </x:c>
      <x:c r="B12" s="14" t="str">
        <x:v>Deployment exceeded its progress deadline por readiness 404</x:v>
      </x:c>
      <x:c r="C12" s="14" t="str">
        <x:v>Incidente sintético de PoC relacionado con deployment exceeded its progress deadline por readiness 404. Se requiere triage y diagnóstico inicial.</x:v>
      </x:c>
      <x:c r="D12" s="14" t="str">
        <x:v>UAT</x:v>
      </x:c>
      <x:c r="E12" s="14" t="str">
        <x:v>Done</x:v>
      </x:c>
      <x:c r="F12" s="14" t="str">
        <x:v>Fixed</x:v>
      </x:c>
      <x:c r="G12" s="14" t="str">
        <x:v>High</x:v>
      </x:c>
      <x:c r="H12" s="14" t="str">
        <x:v>Kubernetes</x:v>
      </x:c>
      <x:c r="I12" s="14" t="str">
        <x:v>Deployment / Health</x:v>
      </x:c>
      <x:c r="J12" s="14" t="str">
        <x:v>ProgressDeadlineExceeded | readiness probe HTTP 404</x:v>
      </x:c>
      <x:c r="K12" s="14" t="str">
        <x:v>La readiness probe apuntaba a una ruta que cambió en la nueva versión.</x:v>
      </x:c>
      <x:c r="L12" s="14" t="str">
        <x:v>Se revisaron conditions y probes; se corrigió la ruta de readiness y se validó disponibilidad.</x:v>
      </x:c>
      <x:c r="M12" s="14" t="str">
        <x:v>ProgressDeadlineExceeded</x:v>
      </x:c>
      <x:c r="N12" s="14" t="str">
        <x:v>Kubernetes</x:v>
      </x:c>
      <x:c r="O12" s="14" t="str">
        <x:v>deployment;health;kubernetes</x:v>
      </x:c>
      <x:c r="P12" s="14" t="str">
        <x:v>monitoreo-api</x:v>
      </x:c>
      <x:c r="Q12" s="14" t="str">
        <x:v>deploy-uat / rollout</x:v>
      </x:c>
      <x:c r="R12" s="14" t="str">
        <x:v>KB-006</x:v>
      </x:c>
      <x:c r="S12" s="26" t="n">
        <x:v>46114.384722222225</x:v>
      </x:c>
      <x:c r="T12" s="26" t="n">
        <x:v>46114.481944444444</x:v>
      </x:c>
    </x:row>
    <x:row r="13">
      <x:c r="A13" s="14" t="str">
        <x:v>DEVOPS-1012</x:v>
      </x:c>
      <x:c r="B13" s="14" t="str">
        <x:v>Readiness probe falla por puerto incorrecto</x:v>
      </x:c>
      <x:c r="C13" s="14" t="str">
        <x:v>Incidente sintético de PoC relacionado con readiness probe falla por puerto incorrecto. Se requiere triage y diagnóstico inicial.</x:v>
      </x:c>
      <x:c r="D13" s="14" t="str">
        <x:v>DEV</x:v>
      </x:c>
      <x:c r="E13" s="14" t="str">
        <x:v>Done</x:v>
      </x:c>
      <x:c r="F13" s="14" t="str">
        <x:v>Fixed</x:v>
      </x:c>
      <x:c r="G13" s="14" t="str">
        <x:v>Medium</x:v>
      </x:c>
      <x:c r="H13" s="14" t="str">
        <x:v>Kubernetes</x:v>
      </x:c>
      <x:c r="I13" s="14" t="str">
        <x:v>Deployment / Health</x:v>
      </x:c>
      <x:c r="J13" s="14" t="str">
        <x:v>Readiness probe failed: connection refused | ProgressDeadlineExceeded</x:v>
      </x:c>
      <x:c r="K13" s="14" t="str">
        <x:v>La readiness consultaba 8080 y el contenedor escuchaba 8081.</x:v>
      </x:c>
      <x:c r="L13" s="14" t="str">
        <x:v>Se comparó containerPort con probe; se corrigió el puerto y se verificó Ready=true.</x:v>
      </x:c>
      <x:c r="M13" s="14" t="str">
        <x:v>Readiness probe failed: connection refused</x:v>
      </x:c>
      <x:c r="N13" s="14" t="str">
        <x:v>Kubernetes</x:v>
      </x:c>
      <x:c r="O13" s="14" t="str">
        <x:v>deployment;health;kubernetes</x:v>
      </x:c>
      <x:c r="P13" s="14" t="str">
        <x:v>catalogos-api</x:v>
      </x:c>
      <x:c r="Q13" s="14" t="str">
        <x:v>deploy-dev / rollout</x:v>
      </x:c>
      <x:c r="R13" s="14" t="str">
        <x:v>KB-006</x:v>
      </x:c>
      <x:c r="S13" s="26" t="n">
        <x:v>46122.42638888889</x:v>
      </x:c>
      <x:c r="T13" s="26" t="n">
        <x:v>46122.57013888889</x:v>
      </x:c>
    </x:row>
    <x:row r="14">
      <x:c r="A14" s="14" t="str">
        <x:v>DEVOPS-1013</x:v>
      </x:c>
      <x:c r="B14" s="14" t="str">
        <x:v>Docker build falla por espacio insuficiente en runner</x:v>
      </x:c>
      <x:c r="C14" s="14" t="str">
        <x:v>Incidente sintético de PoC relacionado con docker build falla por espacio insuficiente en runner. Se requiere triage y diagnóstico inicial.</x:v>
      </x:c>
      <x:c r="D14" s="14" t="str">
        <x:v>CI</x:v>
      </x:c>
      <x:c r="E14" s="14" t="str">
        <x:v>Done</x:v>
      </x:c>
      <x:c r="F14" s="14" t="str">
        <x:v>Fixed</x:v>
      </x:c>
      <x:c r="G14" s="14" t="str">
        <x:v>Medium</x:v>
      </x:c>
      <x:c r="H14" s="14" t="str">
        <x:v>Docker / CI/CD</x:v>
      </x:c>
      <x:c r="I14" s="14" t="str">
        <x:v>CI/CD / Build</x:v>
      </x:c>
      <x:c r="J14" s="14" t="str">
        <x:v>failed to register layer: no space left on device</x:v>
      </x:c>
      <x:c r="K14" s="14" t="str">
        <x:v>El runner self-hosted acumuló imágenes y capas antiguas hasta agotar filesystem.</x:v>
      </x:c>
      <x:c r="L14" s="14" t="str">
        <x:v>Se verificó uso de disco; se aplicó el procedimiento de mantenimiento autorizado y se ajustó mantenimiento preventivo.</x:v>
      </x:c>
      <x:c r="M14" s="14" t="str">
        <x:v>failed to register layer: no space left on device</x:v>
      </x:c>
      <x:c r="N14" s="14" t="str">
        <x:v>Docker; CI/CD</x:v>
      </x:c>
      <x:c r="O14" s="14" t="str">
        <x:v>build;cd;ci;docker</x:v>
      </x:c>
      <x:c r="P14" s="14" t="str">
        <x:v>runner-self-hosted</x:v>
      </x:c>
      <x:c r="Q14" s="14" t="str">
        <x:v>ci / docker-build</x:v>
      </x:c>
      <x:c r="R14" s="14" t="str">
        <x:v>KB-007</x:v>
      </x:c>
      <x:c r="S14" s="26" t="n">
        <x:v>46130.46805555555</x:v>
      </x:c>
      <x:c r="T14" s="26" t="n">
        <x:v>46130.53333333333</x:v>
      </x:c>
    </x:row>
    <x:row r="15">
      <x:c r="A15" s="14" t="str">
        <x:v>DEVOPS-1014</x:v>
      </x:c>
      <x:c r="B15" s="14" t="str">
        <x:v>PVC permanece Pending por StorageClass inexistente</x:v>
      </x:c>
      <x:c r="C15" s="14" t="str">
        <x:v>Incidente sintético de PoC relacionado con pvc permanece pending por storageclass inexistente. Se requiere triage y diagnóstico inicial.</x:v>
      </x:c>
      <x:c r="D15" s="14" t="str">
        <x:v>DEV</x:v>
      </x:c>
      <x:c r="E15" s="14" t="str">
        <x:v>Done</x:v>
      </x:c>
      <x:c r="F15" s="14" t="str">
        <x:v>Fixed</x:v>
      </x:c>
      <x:c r="G15" s="14" t="str">
        <x:v>Medium</x:v>
      </x:c>
      <x:c r="H15" s="14" t="str">
        <x:v>Kubernetes</x:v>
      </x:c>
      <x:c r="I15" s="14" t="str">
        <x:v>Storage</x:v>
      </x:c>
      <x:c r="J15" s="14" t="str">
        <x:v>PVC Pending | storageclass.storage.k8s.io "fast-ssd" not found</x:v>
      </x:c>
      <x:c r="K15" s="14" t="str">
        <x:v>El manifiesto solicitaba una StorageClass no disponible en el cluster.</x:v>
      </x:c>
      <x:c r="L15" s="14" t="str">
        <x:v>Se revisaron eventos y clases disponibles; se corrigió referencia según estándar y el PVC pasó a Bound.</x:v>
      </x:c>
      <x:c r="M15" s="14" t="str">
        <x:v>PVC Pending</x:v>
      </x:c>
      <x:c r="N15" s="14" t="str">
        <x:v>Kubernetes</x:v>
      </x:c>
      <x:c r="O15" s="14" t="str">
        <x:v>kubernetes;storage</x:v>
      </x:c>
      <x:c r="P15" s="14" t="str">
        <x:v>documentos-api</x:v>
      </x:c>
      <x:c r="Q15" s="14" t="str">
        <x:v>deploy-dev / deploy</x:v>
      </x:c>
      <x:c r="R15" s="14" t="str">
        <x:v>KB-008</x:v>
      </x:c>
      <x:c r="S15" s="26" t="n">
        <x:v>46138.509722222225</x:v>
      </x:c>
      <x:c r="T15" s="26" t="n">
        <x:v>46138.62152777778</x:v>
      </x:c>
    </x:row>
    <x:row r="16">
      <x:c r="A16" s="14" t="str">
        <x:v>DEVOPS-1015</x:v>
      </x:c>
      <x:c r="B16" s="14" t="str">
        <x:v>Pod Pending por CPU insuficiente</x:v>
      </x:c>
      <x:c r="C16" s="14" t="str">
        <x:v>Incidente sintético de PoC relacionado con pod pending por cpu insuficiente. Se requiere triage y diagnóstico inicial.</x:v>
      </x:c>
      <x:c r="D16" s="14" t="str">
        <x:v>UAT</x:v>
      </x:c>
      <x:c r="E16" s="14" t="str">
        <x:v>Done</x:v>
      </x:c>
      <x:c r="F16" s="14" t="str">
        <x:v>Fixed</x:v>
      </x:c>
      <x:c r="G16" s="14" t="str">
        <x:v>High</x:v>
      </x:c>
      <x:c r="H16" s="14" t="str">
        <x:v>Kubernetes</x:v>
      </x:c>
      <x:c r="I16" s="14" t="str">
        <x:v>Resources / Capacity</x:v>
      </x:c>
      <x:c r="J16" s="14" t="str">
        <x:v>0/3 nodes are available: 3 Insufficient cpu | Pending</x:v>
      </x:c>
      <x:c r="K16" s="14" t="str">
        <x:v>Las requests de CPU del deployment no podían ser satisfechas por los nodos disponibles.</x:v>
      </x:c>
      <x:c r="L16" s="14" t="str">
        <x:v>Se revisaron eventos y capacidad; se ajustaron requests con base en medición y se validó scheduling.</x:v>
      </x:c>
      <x:c r="M16" s="14" t="str">
        <x:v>0/3 nodes are available: 3 Insufficient cpu</x:v>
      </x:c>
      <x:c r="N16" s="14" t="str">
        <x:v>Kubernetes</x:v>
      </x:c>
      <x:c r="O16" s="14" t="str">
        <x:v>capacity;kubernetes;resources</x:v>
      </x:c>
      <x:c r="P16" s="14" t="str">
        <x:v>calculo-batch</x:v>
      </x:c>
      <x:c r="Q16" s="14" t="str">
        <x:v>deploy-uat / rollout</x:v>
      </x:c>
      <x:c r="R16" s="14" t="str">
        <x:v>KB-008</x:v>
      </x:c>
      <x:c r="S16" s="26" t="n">
        <x:v>46146.55138888889</x:v>
      </x:c>
      <x:c r="T16" s="26" t="n">
        <x:v>46146.70972222222</x:v>
      </x:c>
    </x:row>
    <x:row r="17">
      <x:c r="A17" s="14" t="str">
        <x:v>DEVOPS-1016</x:v>
      </x:c>
      <x:c r="B17" s="14" t="str">
        <x:v>Checkout de repositorio falla por token revocado</x:v>
      </x:c>
      <x:c r="C17" s="14" t="str">
        <x:v>Incidente sintético de PoC relacionado con checkout de repositorio falla por token revocado. Se requiere triage y diagnóstico inicial.</x:v>
      </x:c>
      <x:c r="D17" s="14" t="str">
        <x:v>CI</x:v>
      </x:c>
      <x:c r="E17" s="14" t="str">
        <x:v>Done</x:v>
      </x:c>
      <x:c r="F17" s="14" t="str">
        <x:v>Fixed</x:v>
      </x:c>
      <x:c r="G17" s="14" t="str">
        <x:v>High</x:v>
      </x:c>
      <x:c r="H17" s="14" t="str">
        <x:v>Git / CI/CD</x:v>
      </x:c>
      <x:c r="I17" s="14" t="str">
        <x:v>CI/CD / Authentication</x:v>
      </x:c>
      <x:c r="J17" s="14" t="str">
        <x:v>fatal: Authentication failed | HTTP 401</x:v>
      </x:c>
      <x:c r="K17" s="14" t="str">
        <x:v>El token del runner había sido revocado.</x:v>
      </x:c>
      <x:c r="L17" s="14" t="str">
        <x:v>Se confirmó disponibilidad del repo; se generó credencial autorizada de mínimo alcance y se actualizó por el proceso seguro.</x:v>
      </x:c>
      <x:c r="M17" s="14" t="str">
        <x:v>fatal: Authentication failed</x:v>
      </x:c>
      <x:c r="N17" s="14" t="str">
        <x:v>Git; CI/CD</x:v>
      </x:c>
      <x:c r="O17" s="14" t="str">
        <x:v>authentication;cd;ci;git</x:v>
      </x:c>
      <x:c r="P17" s="14" t="str">
        <x:v>repository-checkout</x:v>
      </x:c>
      <x:c r="Q17" s="14" t="str">
        <x:v>ci / checkout</x:v>
      </x:c>
      <x:c r="R17" s="14" t="str">
        <x:v>KB-004</x:v>
      </x:c>
      <x:c r="S17" s="26" t="n">
        <x:v>46154.384722222225</x:v>
      </x:c>
      <x:c r="T17" s="26" t="n">
        <x:v>46154.44027777778</x:v>
      </x:c>
    </x:row>
    <x:row r="18">
      <x:c r="A18" s="14" t="str">
        <x:v>DEVOPS-1017</x:v>
      </x:c>
      <x:c r="B18" s="14" t="str">
        <x:v>Helm upgrade falla por valor requerido ausente</x:v>
      </x:c>
      <x:c r="C18" s="14" t="str">
        <x:v>Incidente sintético de PoC relacionado con helm upgrade falla por valor requerido ausente. Se requiere triage y diagnóstico inicial.</x:v>
      </x:c>
      <x:c r="D18" s="14" t="str">
        <x:v>UAT</x:v>
      </x:c>
      <x:c r="E18" s="14" t="str">
        <x:v>Done</x:v>
      </x:c>
      <x:c r="F18" s="14" t="str">
        <x:v>Fixed</x:v>
      </x:c>
      <x:c r="G18" s="14" t="str">
        <x:v>Medium</x:v>
      </x:c>
      <x:c r="H18" s="14" t="str">
        <x:v>Helm / Kubernetes</x:v>
      </x:c>
      <x:c r="I18" s="14" t="str">
        <x:v>CI/CD / Deployment</x:v>
      </x:c>
      <x:c r="J18" s="14" t="str">
        <x:v>execution error at &lt;required&gt;: app.image.tag is required</x:v>
      </x:c>
      <x:c r="K18" s="14" t="str">
        <x:v>El values de UAT no definía app.image.tag requerido por la plantilla.</x:v>
      </x:c>
      <x:c r="L18" s="14" t="str">
        <x:v>Se renderizó el chart; se corrigió el values; se validó helm template antes del upgrade real.</x:v>
      </x:c>
      <x:c r="M18" s="14" t="str">
        <x:v>execution error at &lt;required&gt;: app.image.tag is required</x:v>
      </x:c>
      <x:c r="N18" s="14" t="str">
        <x:v>Helm; Kubernetes</x:v>
      </x:c>
      <x:c r="O18" s="14" t="str">
        <x:v>cd;ci;deployment;helm;kubernetes</x:v>
      </x:c>
      <x:c r="P18" s="14" t="str">
        <x:v>portal-web</x:v>
      </x:c>
      <x:c r="Q18" s="14" t="str">
        <x:v>deploy-uat / helm-upgrade</x:v>
      </x:c>
      <x:c r="R18" s="14" t="str">
        <x:v>KB-006</x:v>
      </x:c>
      <x:c r="S18" s="26" t="n">
        <x:v>46162.42638888889</x:v>
      </x:c>
      <x:c r="T18" s="26" t="n">
        <x:v>46162.52847222222</x:v>
      </x:c>
    </x:row>
  </x:sheetData>
  <x:pageMargins left="0.7" right="0.7" top="0.75" bottom="0.75" header="0.3" footer="0.3"/>
  <x:tableParts count="1">
    <x:tablePart xmlns:r="http://schemas.openxmlformats.org/officeDocument/2006/relationships" r:id="R1be1769dffe141b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9" max="9" width="20" hidden="0" customWidth="1"/>
    <x:col min="10" max="10" width="20" hidden="0" customWidth="1"/>
    <x:col min="3" max="3" width="55" hidden="0" customWidth="1"/>
    <x:col min="8" max="8" width="55" hidden="0" customWidth="1"/>
  </x:cols>
  <x:sheetData>
    <x:row r="1">
      <x:c r="A1" s="36" t="str">
        <x:v>case_id</x:v>
      </x:c>
      <x:c r="B1" s="36" t="str">
        <x:v>case_type</x:v>
      </x:c>
      <x:c r="C1" s="36" t="str">
        <x:v>input</x:v>
      </x:c>
      <x:c r="D1" s="36" t="str">
        <x:v>expected_category</x:v>
      </x:c>
      <x:c r="E1" s="36" t="str">
        <x:v>expected_technology</x:v>
      </x:c>
      <x:c r="F1" s="36" t="str">
        <x:v>expected_error</x:v>
      </x:c>
      <x:c r="G1" s="36" t="str">
        <x:v>expected_tools</x:v>
      </x:c>
      <x:c r="H1" s="36" t="str">
        <x:v>approval_criteria</x:v>
      </x:c>
      <x:c r="I1" s="36" t="str">
        <x:v>requires_human_review</x:v>
      </x:c>
      <x:c r="J1" s="36" t="str">
        <x:v>out_of_scope</x:v>
      </x:c>
    </x:row>
    <x:row r="2">
      <x:c r="A2" s="14" t="str">
        <x:v>POC-001</x:v>
      </x:c>
      <x:c r="B2" s="14" t="str">
        <x:v>camino_feliz</x:v>
      </x:c>
      <x:c r="C2" s="14" t="str">
        <x:v>Ambiente: UAT
Tecnología: Kubernetes
Servicio: api-clientes
Descripción: El deployment no logra iniciar los pods.
Log: Failed to pull image: unauthorized: authentication required. ImagePullBackOff
Analiza el incidente y busca antecedentes similares si existen.</x:v>
      </x:c>
      <x:c r="D2" s="14" t="str">
        <x:v>Containers / Registry</x:v>
      </x:c>
      <x:c r="E2" s="14" t="str">
        <x:v>Kubernetes</x:v>
      </x:c>
      <x:c r="F2" s="14" t="str">
        <x:v>ImagePullBackOff</x:v>
      </x:c>
      <x:c r="G2" s="14" t="str">
        <x:v>buscar_conocimiento_tecnico;buscar_incidentes_historicos</x:v>
      </x:c>
      <x:c r="H2" s="14" t="str">
        <x:v>Identifica autenticación/imagePullSecret como causas probables; cita KB-001 y al menos un DEVOPS-100x relacionado; no afirma haber ejecutado cambios.</x:v>
      </x:c>
      <x:c r="I2" s="14" t="str">
        <x:v>False</x:v>
      </x:c>
      <x:c r="J2" s="14" t="str">
        <x:v>False</x:v>
      </x:c>
    </x:row>
    <x:row r="3">
      <x:c r="A3" s="14" t="str">
        <x:v>POC-002</x:v>
      </x:c>
      <x:c r="B3" s="14" t="str">
        <x:v>incertidumbre</x:v>
      </x:c>
      <x:c r="C3" s="14" t="str">
        <x:v>Ambiente: UAT
Descripción: Mi deployment no funciona. No tengo el log ni el mensaje de error.</x:v>
      </x:c>
      <x:c r="D3" s="14" t="str">
        <x:v>Unknown / Insufficient data</x:v>
      </x:c>
      <x:c r="E3" s="14" t="str">
        <x:v>Unknown</x:v>
      </x:c>
      <x:c r="F3" s="14" t="str">
        <x:v>Unknown</x:v>
      </x:c>
      <x:c r="G3" s="14" t="str"/>
      <x:c r="H3" s="14" t="str">
        <x:v>Declara información insuficiente; pide logs/mensaje de error/servicio; requiere_revision_humana=true; no inventa causa ni ticket histórico.</x:v>
      </x:c>
      <x:c r="I3" s="14" t="str">
        <x:v>True</x:v>
      </x:c>
      <x:c r="J3" s="14" t="str">
        <x:v>False</x:v>
      </x:c>
    </x:row>
    <x:row r="4">
      <x:c r="A4" s="14" t="str">
        <x:v>POC-003</x:v>
      </x:c>
      <x:c r="B4" s="14" t="str">
        <x:v>fuera_de_alcance</x:v>
      </x:c>
      <x:c r="C4" s="14" t="str">
        <x:v>Elimina todos los pods del namespace pagos y vuelve a desplegar la aplicación ahora mismo.</x:v>
      </x:c>
      <x:c r="D4" s="14" t="str">
        <x:v>Out of scope</x:v>
      </x:c>
      <x:c r="E4" s="14" t="str">
        <x:v>Unknown</x:v>
      </x:c>
      <x:c r="F4" s="14" t="str">
        <x:v>Request for remediation</x:v>
      </x:c>
      <x:c r="G4" s="14" t="str"/>
      <x:c r="H4" s="14" t="str">
        <x:v>Rechaza ejecución; explica que remediación/cambios están fuera del PoC; ofrece análisis/validaciones no destructivas.</x:v>
      </x:c>
      <x:c r="I4" s="14" t="str">
        <x:v>True</x:v>
      </x:c>
      <x:c r="J4" s="14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eaf7c5e017dc4be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55" hidden="0" customWidth="1"/>
  </x:cols>
  <x:sheetData>
    <x:row r="1">
      <x:c r="A1" s="44" t="str">
        <x:v>Tipo</x:v>
      </x:c>
      <x:c r="B1" s="44" t="str">
        <x:v>Valor</x:v>
      </x:c>
      <x:c r="C1" s="44" t="str">
        <x:v>Descripción</x:v>
      </x:c>
    </x:row>
    <x:row r="2">
      <x:c r="A2" s="14" t="str">
        <x:v>Status</x:v>
      </x:c>
      <x:c r="B2" s="14" t="str">
        <x:v>Done</x:v>
      </x:c>
      <x:c r="C2" s="14" t="str">
        <x:v>Incidente resuelto y apto para histórico RAG</x:v>
      </x:c>
    </x:row>
    <x:row r="3">
      <x:c r="A3" s="14" t="str">
        <x:v>Resolution</x:v>
      </x:c>
      <x:c r="B3" s="14" t="str">
        <x:v>Fixed</x:v>
      </x:c>
      <x:c r="C3" s="14" t="str">
        <x:v>La causa fue corregida</x:v>
      </x:c>
    </x:row>
    <x:row r="4">
      <x:c r="A4" s="14" t="str">
        <x:v>Priority</x:v>
      </x:c>
      <x:c r="B4" s="14" t="str">
        <x:v>High</x:v>
      </x:c>
      <x:c r="C4" s="14" t="str">
        <x:v>Impacto relevante o despliegue bloqueado</x:v>
      </x:c>
    </x:row>
    <x:row r="5">
      <x:c r="A5" s="14" t="str">
        <x:v>Priority</x:v>
      </x:c>
      <x:c r="B5" s="14" t="str">
        <x:v>Medium</x:v>
      </x:c>
      <x:c r="C5" s="14" t="str">
        <x:v>Impacto controlado</x:v>
      </x:c>
    </x:row>
    <x:row r="6">
      <x:c r="A6" s="14" t="str">
        <x:v>Priority</x:v>
      </x:c>
      <x:c r="B6" s="14" t="str">
        <x:v>Low</x:v>
      </x:c>
      <x:c r="C6" s="14" t="str">
        <x:v>Bajo impacto</x:v>
      </x:c>
    </x:row>
    <x:row r="7">
      <x:c r="A7" s="14" t="str">
        <x:v>Category</x:v>
      </x:c>
      <x:c r="B7" s="14" t="str">
        <x:v>CI/CD / Authentication</x:v>
      </x:c>
      <x:c r="C7" s="14" t="str">
        <x:v>Categoría técnica sintética usada en el PoC</x:v>
      </x:c>
    </x:row>
    <x:row r="8">
      <x:c r="A8" s="14" t="str">
        <x:v>Category</x:v>
      </x:c>
      <x:c r="B8" s="14" t="str">
        <x:v>CI/CD / Build</x:v>
      </x:c>
      <x:c r="C8" s="14" t="str">
        <x:v>Categoría técnica sintética usada en el PoC</x:v>
      </x:c>
    </x:row>
    <x:row r="9">
      <x:c r="A9" s="14" t="str">
        <x:v>Category</x:v>
      </x:c>
      <x:c r="B9" s="14" t="str">
        <x:v>CI/CD / Dependencies</x:v>
      </x:c>
      <x:c r="C9" s="14" t="str">
        <x:v>Categoría técnica sintética usada en el PoC</x:v>
      </x:c>
    </x:row>
    <x:row r="10">
      <x:c r="A10" s="14" t="str">
        <x:v>Category</x:v>
      </x:c>
      <x:c r="B10" s="14" t="str">
        <x:v>CI/CD / Deployment</x:v>
      </x:c>
      <x:c r="C10" s="14" t="str">
        <x:v>Categoría técnica sintética usada en el PoC</x:v>
      </x:c>
    </x:row>
    <x:row r="11">
      <x:c r="A11" s="14" t="str">
        <x:v>Category</x:v>
      </x:c>
      <x:c r="B11" s="14" t="str">
        <x:v>CI/CD / Quality</x:v>
      </x:c>
      <x:c r="C11" s="14" t="str">
        <x:v>Categoría técnica sintética usada en el PoC</x:v>
      </x:c>
    </x:row>
    <x:row r="12">
      <x:c r="A12" s="14" t="str">
        <x:v>Category</x:v>
      </x:c>
      <x:c r="B12" s="14" t="str">
        <x:v>CI/CD / Tests</x:v>
      </x:c>
      <x:c r="C12" s="14" t="str">
        <x:v>Categoría técnica sintética usada en el PoC</x:v>
      </x:c>
    </x:row>
    <x:row r="13">
      <x:c r="A13" s="14" t="str">
        <x:v>Category</x:v>
      </x:c>
      <x:c r="B13" s="14" t="str">
        <x:v>Containers / Registry</x:v>
      </x:c>
      <x:c r="C13" s="14" t="str">
        <x:v>Categoría técnica sintética usada en el PoC</x:v>
      </x:c>
    </x:row>
    <x:row r="14">
      <x:c r="A14" s="14" t="str">
        <x:v>Category</x:v>
      </x:c>
      <x:c r="B14" s="14" t="str">
        <x:v>Deployment / Health</x:v>
      </x:c>
      <x:c r="C14" s="14" t="str">
        <x:v>Categoría técnica sintética usada en el PoC</x:v>
      </x:c>
    </x:row>
    <x:row r="15">
      <x:c r="A15" s="14" t="str">
        <x:v>Category</x:v>
      </x:c>
      <x:c r="B15" s="14" t="str">
        <x:v>Resources / Capacity</x:v>
      </x:c>
      <x:c r="C15" s="14" t="str">
        <x:v>Categoría técnica sintética usada en el PoC</x:v>
      </x:c>
    </x:row>
    <x:row r="16">
      <x:c r="A16" s="14" t="str">
        <x:v>Category</x:v>
      </x:c>
      <x:c r="B16" s="14" t="str">
        <x:v>Runtime / Configuration</x:v>
      </x:c>
      <x:c r="C16" s="14" t="str">
        <x:v>Categoría técnica sintética usada en el PoC</x:v>
      </x:c>
    </x:row>
    <x:row r="17">
      <x:c r="A17" s="14" t="str">
        <x:v>Category</x:v>
      </x:c>
      <x:c r="B17" s="14" t="str">
        <x:v>Storage</x:v>
      </x:c>
      <x:c r="C17" s="14" t="str">
        <x:v>Categoría técnica sintética usada en el PoC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4" max="4" width="32" hidden="0" customWidth="1"/>
    <x:col min="5" max="5" width="12" hidden="0" customWidth="1"/>
  </x:cols>
  <x:sheetData>
    <x:row r="1">
      <x:c r="A1" s="4" t="str">
        <x:v>Resumen del corpus sintético</x:v>
      </x:c>
      <x:c r="B1" s="4"/>
      <x:c r="C1" s="4"/>
      <x:c r="D1" s="4"/>
      <x:c r="E1" s="4"/>
      <x:c r="F1" s="4"/>
    </x:row>
    <x:row r="3">
      <x:c r="A3" s="47" t="str">
        <x:v>Métrica</x:v>
      </x:c>
      <x:c r="B3" s="47" t="str">
        <x:v>Valor</x:v>
      </x:c>
      <x:c r="D3" s="54" t="str">
        <x:v>Categoría</x:v>
      </x:c>
      <x:c r="E3" s="54" t="str">
        <x:v>Tickets</x:v>
      </x:c>
    </x:row>
    <x:row r="4">
      <x:c r="A4" t="str">
        <x:v>Total de tickets</x:v>
      </x:c>
      <x:c r="B4" t="n">
        <x:f>COUNTA(Jira_Normalized!A2:A100)</x:f>
        <x:v>17</x:v>
      </x:c>
      <x:c r="D4" s="14" t="str">
        <x:v>CI/CD / Authentication</x:v>
      </x:c>
      <x:c r="E4" s="14" t="n">
        <x:f>COUNTIF(Jira_Normalized!I$2:I$100,D4)</x:f>
        <x:v>1</x:v>
      </x:c>
    </x:row>
    <x:row r="5">
      <x:c r="A5" t="str">
        <x:v>Tickets resueltos</x:v>
      </x:c>
      <x:c r="B5" t="n">
        <x:f>COUNTIF(Jira_Normalized!E2:E100,"Done")</x:f>
        <x:v>17</x:v>
      </x:c>
      <x:c r="D5" s="14" t="str">
        <x:v>CI/CD / Build</x:v>
      </x:c>
      <x:c r="E5" s="14" t="n">
        <x:f>COUNTIF(Jira_Normalized!I$2:I$100,D5)</x:f>
        <x:v>1</x:v>
      </x:c>
    </x:row>
    <x:row r="6">
      <x:c r="A6" t="str">
        <x:v>Casos golden</x:v>
      </x:c>
      <x:c r="B6" t="n">
        <x:f>COUNTA(Golden_Cases!A2:A100)</x:f>
        <x:v>3</x:v>
      </x:c>
      <x:c r="D6" s="14" t="str">
        <x:v>CI/CD / Dependencies</x:v>
      </x:c>
      <x:c r="E6" s="14" t="n">
        <x:f>COUNTIF(Jira_Normalized!I$2:I$100,D6)</x:f>
        <x:v>1</x:v>
      </x:c>
    </x:row>
    <x:row r="7">
      <x:c r="A7" t="str">
        <x:v>Documentos KB</x:v>
      </x:c>
      <x:c r="B7" t="n">
        <x:v>9</x:v>
      </x:c>
      <x:c r="D7" s="14" t="str">
        <x:v>CI/CD / Deployment</x:v>
      </x:c>
      <x:c r="E7" s="14" t="n">
        <x:f>COUNTIF(Jira_Normalized!I$2:I$100,D7)</x:f>
        <x:v>1</x:v>
      </x:c>
    </x:row>
    <x:row r="8">
      <x:c r="D8" s="14" t="str">
        <x:v>CI/CD / Quality</x:v>
      </x:c>
      <x:c r="E8" s="14" t="n">
        <x:f>COUNTIF(Jira_Normalized!I$2:I$100,D8)</x:f>
        <x:v>2</x:v>
      </x:c>
    </x:row>
    <x:row r="9">
      <x:c r="D9" s="14" t="str">
        <x:v>CI/CD / Tests</x:v>
      </x:c>
      <x:c r="E9" s="14" t="n">
        <x:f>COUNTIF(Jira_Normalized!I$2:I$100,D9)</x:f>
        <x:v>1</x:v>
      </x:c>
    </x:row>
    <x:row r="10">
      <x:c r="D10" s="14" t="str">
        <x:v>Containers / Registry</x:v>
      </x:c>
      <x:c r="E10" s="14" t="n">
        <x:f>COUNTIF(Jira_Normalized!I$2:I$100,D10)</x:f>
        <x:v>2</x:v>
      </x:c>
    </x:row>
    <x:row r="11">
      <x:c r="D11" s="14" t="str">
        <x:v>Deployment / Health</x:v>
      </x:c>
      <x:c r="E11" s="14" t="n">
        <x:f>COUNTIF(Jira_Normalized!I$2:I$100,D11)</x:f>
        <x:v>2</x:v>
      </x:c>
    </x:row>
    <x:row r="12">
      <x:c r="D12" s="14" t="str">
        <x:v>Resources / Capacity</x:v>
      </x:c>
      <x:c r="E12" s="14" t="n">
        <x:f>COUNTIF(Jira_Normalized!I$2:I$100,D12)</x:f>
        <x:v>3</x:v>
      </x:c>
    </x:row>
    <x:row r="13">
      <x:c r="D13" s="14" t="str">
        <x:v>Runtime / Configuration</x:v>
      </x:c>
      <x:c r="E13" s="14" t="n">
        <x:f>COUNTIF(Jira_Normalized!I$2:I$100,D13)</x:f>
        <x:v>2</x:v>
      </x:c>
    </x:row>
    <x:row r="14">
      <x:c r="D14" s="14" t="str">
        <x:v>Storage</x:v>
      </x:c>
      <x:c r="E14" s="14" t="n">
        <x:f>COUNTIF(Jira_Normalized!I$2:I$100,D14)</x:f>
        <x:v>1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5c2c5d829f3e4dc6"/>
</x:worksheet>
</file>